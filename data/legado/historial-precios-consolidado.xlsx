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l" sheetId="1" state="visible" r:id="rId3"/>
    <sheet name="Control" sheetId="2" state="visible" r:id="rId4"/>
  </sheets>
  <definedNames>
    <definedName function="false" hidden="true" localSheetId="0" name="_xlnm._FilterDatabase" vbProcedure="false">Historial!$A$1:$M$36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<sst xmlns="http://schemas.openxmlformats.org/spreadsheetml/2006/main" count="352" uniqueCount="183">
  <si>
    <t xml:space="preserve">Fecha de búsqueda</t>
  </si>
  <si>
    <t xml:space="preserve">Ruta</t>
  </si>
  <si>
    <t xml:space="preserve">Ruta original</t>
  </si>
  <si>
    <t xml:space="preserve">Aerolínea</t>
  </si>
  <si>
    <t xml:space="preserve">Fechas de viaje (ida y vuelta, ~14 días)</t>
  </si>
  <si>
    <t xml:space="preserve">Días de estadía</t>
  </si>
  <si>
    <t xml:space="preserve">Tipo de tarifa</t>
  </si>
  <si>
    <t xml:space="preserve">Precio (USD)</t>
  </si>
  <si>
    <t xml:space="preserve">Fuente</t>
  </si>
  <si>
    <t xml:space="preserve">Enlace</t>
  </si>
  <si>
    <t xml:space="preserve">Notas</t>
  </si>
  <si>
    <t xml:space="preserve">Archivo de origen</t>
  </si>
  <si>
    <t xml:space="preserve">Semana (lunes)</t>
  </si>
  <si>
    <t xml:space="preserve">Alternativa – Madrid</t>
  </si>
  <si>
    <t xml:space="preserve">Madrid (alternativa)</t>
  </si>
  <si>
    <t xml:space="preserve">Air Europa</t>
  </si>
  <si>
    <t xml:space="preserve">Fechas flexibles</t>
  </si>
  <si>
    <t xml:space="preserve">Referencia</t>
  </si>
  <si>
    <t xml:space="preserve">Air Europa / Travelocity</t>
  </si>
  <si>
    <t xml:space="preserve">https://www.aireuropa.com/en-us/flight-deals-from-buenos-aires-1-to-madrid</t>
  </si>
  <si>
    <t xml:space="preserve">I/V aprox. Conexión barata a París/Roma/Milán (USD 50-190 extra en low cost).</t>
  </si>
  <si>
    <t xml:space="preserve">historial-precios6.xlsx</t>
  </si>
  <si>
    <t xml:space="preserve">Milán</t>
  </si>
  <si>
    <t xml:space="preserve">Febrero 2027 (flexible)</t>
  </si>
  <si>
    <t xml:space="preserve">https://www.aireuropa.com/en-us/flight-deals-from-argentina-to-italy</t>
  </si>
  <si>
    <t xml:space="preserve">I/V EZE-MXP desde feb 2027, con escala en Madrid.</t>
  </si>
  <si>
    <t xml:space="preserve">París</t>
  </si>
  <si>
    <t xml:space="preserve">Air France</t>
  </si>
  <si>
    <t xml:space="preserve">24/03/2027 - 14/04/2027</t>
  </si>
  <si>
    <t xml:space="preserve">Air France Argentina</t>
  </si>
  <si>
    <t xml:space="preserve">https://wwws.airfrance.com.ar/es-ar/vuelos-desde-buenos-aires-a-par%C3%ADs</t>
  </si>
  <si>
    <t xml:space="preserve">Directo EZE-CDG, I/V económica. Cae justo en la ventana mar-abr 2027. Mejor precio 2027 encontrado.</t>
  </si>
  <si>
    <t xml:space="preserve">Roma</t>
  </si>
  <si>
    <t xml:space="preserve">Air Europa / varias</t>
  </si>
  <si>
    <t xml:space="preserve">Air Europa / Kayak</t>
  </si>
  <si>
    <t xml:space="preserve">https://www.aireuropa.com/en-us/flight-deals-from-buenos-aires-1-to-rome</t>
  </si>
  <si>
    <t xml:space="preserve">I/V desde USD 999 aprox.; otras fechas de feb 2027 entre USD 1.175-1.210.</t>
  </si>
  <si>
    <t xml:space="preserve">https://wwws.airfrance.com.ar/es-ar/vuelos-desde-buenos-aires-a-roma</t>
  </si>
  <si>
    <t xml:space="preserve">I/V económica desde USD 1.031, vía CDG.</t>
  </si>
  <si>
    <t xml:space="preserve">Iberia / Air Europa / Aerolíneas Arg.</t>
  </si>
  <si>
    <t xml:space="preserve">Marzo 2027 (~14 días)</t>
  </si>
  <si>
    <t xml:space="preserve">Kayak</t>
  </si>
  <si>
    <t xml:space="preserve">https://www.es.kayak.com/vuelos/Buenos-Aires-BUE/Madrid-Adolfo-Suarez-Madrid-Barajas-MAD</t>
  </si>
  <si>
    <t xml:space="preserve">Con equipaje: USD 1010. Marzo es el mes más barato para EZE-MAD; Turismocity muestra desde USD 845. Conexión barata a Italia/Francia con low-cost. Estimado: tarifa con valija en Iberia/Air Europa suele sumar ~USD 60-80</t>
  </si>
  <si>
    <t xml:space="preserve">historial-precios5.xlsx</t>
  </si>
  <si>
    <t xml:space="preserve">ITA Airways</t>
  </si>
  <si>
    <t xml:space="preserve">Fechas flexibles feb-mar 2027 (~14 días)</t>
  </si>
  <si>
    <t xml:space="preserve">Promociones Aéreas</t>
  </si>
  <si>
    <t xml:space="preserve">https://promociones-aereas.com.ar/2026/07/vuelos-a-milan-desde-buenos-aires-y-opciones-con-equipaje-ita-rt-p.html</t>
  </si>
  <si>
    <t xml:space="preserve">Con equipaje: USD 1140. I/V con carry-on; USD 1.140 con equipaje despachado. Post de julio 2026. Precio publicado por Promociones Aéreas con valija despachada incluida</t>
  </si>
  <si>
    <t xml:space="preserve">24/04/2027 - 08/05/2027 (14 días)</t>
  </si>
  <si>
    <t xml:space="preserve">Fechada 13–16 días</t>
  </si>
  <si>
    <t xml:space="preserve">Air France Argentina (resultado de búsqueda)</t>
  </si>
  <si>
    <t xml:space="preserve">https://wwws.airfrance.com.ar/es-ar/vuelos-desde-buenos-aires-a-paris</t>
  </si>
  <si>
    <t xml:space="preserve">Con equipaje: USD 795. Ídem; abril-mayo 2027, estadía de 14 días. Estimado: ídem fila anterior (~726 + ~70)</t>
  </si>
  <si>
    <t xml:space="preserve">06/03/2027 - 20/03/2027 (14 días)</t>
  </si>
  <si>
    <t xml:space="preserve">Con equipaje: USD 845. Tarifa vista en resultados de búsqueda del sitio de Air France; verificar disponibilidad en el sitio. Estimado: tarifa Standard de Air France (incluye valija 23 kg) suele costar ~USD 60-70 más que Light</t>
  </si>
  <si>
    <t xml:space="preserve">Varias (multitramo)</t>
  </si>
  <si>
    <t xml:space="preserve">Fechas flexibles (~14 días)</t>
  </si>
  <si>
    <t xml:space="preserve">Turismocity</t>
  </si>
  <si>
    <t xml:space="preserve">https://www.turismocity.com.ar/vuelos-baratos-dos-tramos-BUE-ROM,MAD-BUE</t>
  </si>
  <si>
    <t xml:space="preserve">Opción dos tramos BUE-Roma / Madrid-BUE, desde USD 1.023. Sin dato de equipaje; a confirmar al cotizar</t>
  </si>
  <si>
    <t xml:space="preserve">Alternativa – Barcelona</t>
  </si>
  <si>
    <t xml:space="preserve">Alternativa - Barcelona</t>
  </si>
  <si>
    <t xml:space="preserve">LATAM Airlines</t>
  </si>
  <si>
    <t xml:space="preserve">22/02/2027 - 08/03/2027 (14 dias)</t>
  </si>
  <si>
    <t xml:space="preserve">Promociones Aereas (BUE-BCN/MAD)</t>
  </si>
  <si>
    <t xml:space="preserve">https://promociones-aereas.com.ar/2026/05/vuelos-a-barcelona-o-a-madrid-desde-buenos-aires-latam-rt-p.html</t>
  </si>
  <si>
    <t xml:space="preserve">Promo pago con debito en USD; buena base para combinar tren/vuelo low-cost a Francia o Italia.</t>
  </si>
  <si>
    <t xml:space="preserve">historial-precios4.xlsx</t>
  </si>
  <si>
    <t xml:space="preserve">Alternativa - Madrid</t>
  </si>
  <si>
    <t xml:space="preserve">Iberia</t>
  </si>
  <si>
    <t xml:space="preserve">25/02/2027 - 11/03/2027 (14 dias)</t>
  </si>
  <si>
    <t xml:space="preserve">Kayak / Iberia (BUE-MAD)</t>
  </si>
  <si>
    <t xml:space="preserve">https://www.kayak.com.ar/vuelos/Buenos-Aires-BUE/Espana-ES0</t>
  </si>
  <si>
    <t xml:space="preserve">Madrid como hub; buenas conexiones AVE/low-cost a Paris, Roma o Milan.</t>
  </si>
  <si>
    <t xml:space="preserve">Milan</t>
  </si>
  <si>
    <t xml:space="preserve">Air Europa (via Madrid)</t>
  </si>
  <si>
    <t xml:space="preserve">18/02/2027 - 04/03/2027 (14 dias)</t>
  </si>
  <si>
    <t xml:space="preserve">KAYAK (BUE-MIL via MAD)</t>
  </si>
  <si>
    <t xml:space="preserve">https://www.kayak.com.ar/vuelos/Buenos-Aires-BUE/Milan-MIL</t>
  </si>
  <si>
    <t xml:space="preserve">Conexion en Madrid con Air Europa/Iberia. Precio de referencia, no fecha especifica 2027.</t>
  </si>
  <si>
    <t xml:space="preserve">Paris</t>
  </si>
  <si>
    <t xml:space="preserve">15/02/2027 - 01/03/2027 (14 dias)</t>
  </si>
  <si>
    <t xml:space="preserve">Skyscanner / Expedia (BUE-CDG)</t>
  </si>
  <si>
    <t xml:space="preserve">https://www.skyscanner.com/routes/cdg/eze/paris-charles-de-gaulle-to-buenos-aires-ministro-pistarini.html</t>
  </si>
  <si>
    <t xml:space="preserve">Tarifa de referencia temporada baja (directo EZE-CDG). Fecha exacta no confirmada en vivo; verificar antes de comprar.</t>
  </si>
  <si>
    <t xml:space="preserve">20/02/2027 - 06/03/2027 (14 dias)</t>
  </si>
  <si>
    <t xml:space="preserve">Air France Argentina (BUE-ROM)</t>
  </si>
  <si>
    <t xml:space="preserve">Tarifa publicada 'desde USD 1.040 I/V'. Verificar disponibilidad para fechas especificas.</t>
  </si>
  <si>
    <t xml:space="preserve">Buenos Aires (EZE) - Barcelona (BCN) [alternativa a Francia]</t>
  </si>
  <si>
    <t xml:space="preserve">19/02/2027 - 13/03/2027</t>
  </si>
  <si>
    <t xml:space="preserve">Air Europa (aireuropa.com)</t>
  </si>
  <si>
    <t xml:space="preserve">https://www.aireuropa.com/en-us/flight-deals-from-argentina-to-spain</t>
  </si>
  <si>
    <t xml:space="preserve">Tarifa 'desde' del buscador flexible; duración real 22 días. Barcelona conecta barato (tren/low-cost) a Francia.</t>
  </si>
  <si>
    <t xml:space="preserve">historial-precios3.xlsx</t>
  </si>
  <si>
    <t xml:space="preserve">Buenos Aires (EZE) - Madrid (MAD) [conexión a Francia/Italia]</t>
  </si>
  <si>
    <t xml:space="preserve">18/02/2027 - 10/03/2027</t>
  </si>
  <si>
    <t xml:space="preserve">Tarifa 'desde' del buscador flexible; duración real 20 días (más larga que las 2 semanas buscadas). Madrid conecta barato en tren/low-cost a París y Roma/Milán.</t>
  </si>
  <si>
    <t xml:space="preserve">Buenos Aires (EZE) - Milán (MXP)</t>
  </si>
  <si>
    <t xml:space="preserve">04/02/2027 - 24/02/2027</t>
  </si>
  <si>
    <t xml:space="preserve">Tarifa 'desde' del buscador flexible; duración real 20 días.</t>
  </si>
  <si>
    <t xml:space="preserve">Buenos Aires (EZE) - París (CDG/ORY)</t>
  </si>
  <si>
    <t xml:space="preserve">Sin fecha específica confirmada</t>
  </si>
  <si>
    <t xml:space="preserve">Air France Argentina (airfrance.com.ar)</t>
  </si>
  <si>
    <t xml:space="preserve">Tarifa 'desde' publicada en el sitio de Air France, sin fechas ni duración de estadía confirmadas. Air Europa a París (Orly) mostró USD 1.073 pero con estadías de 8 o 36 días, ninguna cercana a 2 semanas; verificar manualmente fechas exactas de ~14 días antes de comprar.</t>
  </si>
  <si>
    <t xml:space="preserve">Buenos Aires (EZE) - Roma (FCO)</t>
  </si>
  <si>
    <t xml:space="preserve">24/02/2027 - 15/03/2027</t>
  </si>
  <si>
    <t xml:space="preserve">Tarifa 'desde' del buscador flexible; duración real 19 días.</t>
  </si>
  <si>
    <t xml:space="preserve">EZE-LIN</t>
  </si>
  <si>
    <t xml:space="preserve">Feb 2027</t>
  </si>
  <si>
    <t xml:space="preserve">Air France AR</t>
  </si>
  <si>
    <t xml:space="preserve">https://wwws.airfrance.com.ar/es-ar/vuelos-desde-buenos-aires-a-mil%C3%A1n</t>
  </si>
  <si>
    <t xml:space="preserve">Mínimo del calendario mensual; estadía no informada.</t>
  </si>
  <si>
    <t xml:space="preserve">Recuperado del reporte del 04/09/2026 (Excel no disponible)</t>
  </si>
  <si>
    <t xml:space="preserve">EZE-CDG</t>
  </si>
  <si>
    <t xml:space="preserve">Multitramo BUE-ROM / MAD-BUE</t>
  </si>
  <si>
    <t xml:space="preserve">Multi-aerolínea</t>
  </si>
  <si>
    <t xml:space="preserve">Multitramo flexible</t>
  </si>
  <si>
    <t xml:space="preserve">Precio 'desde' de portada.</t>
  </si>
  <si>
    <t xml:space="preserve">EZE-ROM vía Madrid</t>
  </si>
  <si>
    <t xml:space="preserve">Sin fecha publicada</t>
  </si>
  <si>
    <t xml:space="preserve">EZE-FCO</t>
  </si>
  <si>
    <t xml:space="preserve">Barcelona (alternativa)</t>
  </si>
  <si>
    <t xml:space="preserve">Varias (Level vuela directo EZE-BCN)</t>
  </si>
  <si>
    <t xml:space="preserve">10/02/2027 - 24/02/2027 (14 días, aprox.)</t>
  </si>
  <si>
    <t xml:space="preserve">Turismocity (agregador)</t>
  </si>
  <si>
    <t xml:space="preserve">https://www.turismocity.com.ar/vuelos-baratos-a-BCN-Barcelona</t>
  </si>
  <si>
    <t xml:space="preserve">Level opera EZE-BCN directo. Conexión BCN-Roma desde ~USD46 o BCN-París desde ~USD45. Verificar fechas exactas antes de comprar.</t>
  </si>
  <si>
    <t xml:space="preserve">historial-precios2.xlsx</t>
  </si>
  <si>
    <t xml:space="preserve">Varias (Iberia/Air Europa/Aerolíneas Argentinas)</t>
  </si>
  <si>
    <t xml:space="preserve">03/03/2027 - 17/03/2027 (14 días, aprox.)</t>
  </si>
  <si>
    <t xml:space="preserve">https://www.turismocity.com.ar/vuelos-baratos-a-MAD-madrid</t>
  </si>
  <si>
    <t xml:space="preserve">Gateway más barato a Europa. Conexión Madrid-París desde ~USD102 o Madrid-Roma vía low cost. Total combinado similar o algo mayor al vuelo directo. Verificar fechas exactas.</t>
  </si>
  <si>
    <t xml:space="preserve">Milán (directo)</t>
  </si>
  <si>
    <t xml:space="preserve">Varias (consultar disp.: Aerolíneas Arg./ITA/Air France-KLM vía combinación)</t>
  </si>
  <si>
    <t xml:space="preserve">https://www.turismocity.com.ar/vuelos-baratos-a-MIL-milan</t>
  </si>
  <si>
    <t xml:space="preserve">Tarifa mínima estimada para marzo 2027 (ARS 1,41M / TC oficial ~1550). Ruta más barata de las 3 principales. Verificar fechas exactas antes de comprar.</t>
  </si>
  <si>
    <t xml:space="preserve">París (directo)</t>
  </si>
  <si>
    <t xml:space="preserve">Varias (Air France/KLM/Iberia vía combinación)</t>
  </si>
  <si>
    <t xml:space="preserve">https://www.turismocity.com.ar/vuelos-baratos-a-PAR-Paris</t>
  </si>
  <si>
    <t xml:space="preserve">Tarifa mínima estimada para febrero 2027 (ARS 1,46M / TC oficial ~1550). La más cara de las 3 principales. Verificar fechas exactas antes de comprar.</t>
  </si>
  <si>
    <t xml:space="preserve">Roma (directo)</t>
  </si>
  <si>
    <t xml:space="preserve">Varias (Aerolíneas Argentinas/ITA Airways/LATAM/Iberia)</t>
  </si>
  <si>
    <t xml:space="preserve">https://www.turismocity.com.ar/vuelos-baratos-a-ROM-roma</t>
  </si>
  <si>
    <t xml:space="preserve">Tarifa mínima estimada para febrero 2027 (ARS 1,45M / TC oficial ~1550). ITA Airways vuela EZE-FCO ~13x/semana. Verificar fechas exactas antes de comprar.</t>
  </si>
  <si>
    <t xml:space="preserve">Alternativa Madrid (EZE-MAD)</t>
  </si>
  <si>
    <t xml:space="preserve">Plus Ultra (directo)</t>
  </si>
  <si>
    <t xml:space="preserve">11/02/2027 – 24/02/2027 (13 días)</t>
  </si>
  <si>
    <t xml:space="preserve">KAYAK AR</t>
  </si>
  <si>
    <t xml:space="preserve">https://www.kayak.com.ar/vuelos/Argentina-AR0/Madrid-Adolfo-Suarez-Madrid-Barajas-MAD</t>
  </si>
  <si>
    <t xml:space="preserve">ARS 1.358.227 ≈ USD 872. Directo. Sumar low-cost MAD-ROM (~USD 50) o MAD-PAR (~USD 110) por tramo.</t>
  </si>
  <si>
    <t xml:space="preserve">historial-precios1.xlsx</t>
  </si>
  <si>
    <t xml:space="preserve">Milán (EZE-MXP)</t>
  </si>
  <si>
    <t xml:space="preserve">Varias aerolíneas (Iberia/Air Europa vía Madrid)</t>
  </si>
  <si>
    <t xml:space="preserve">https://www.kayak.com.ar/vuelos/Buenos-Aires-BUE/Italia-IT0</t>
  </si>
  <si>
    <t xml:space="preserve">ARS 1.387.491 (tipo de cambio implícito Turismocity ≈1.557 ARS/USD). 1 escala en MAD. Oferta vista en KAYAK en últimas 72 h.</t>
  </si>
  <si>
    <t xml:space="preserve">Air Europa (vía Madrid)</t>
  </si>
  <si>
    <t xml:space="preserve">16/02/2027 – 02/03/2027 (14 días)</t>
  </si>
  <si>
    <t xml:space="preserve">ARS 1.424.454 ≈ USD 915. 1 escala MAD. Página cacheada 15/09/2026, verificar vigencia.</t>
  </si>
  <si>
    <t xml:space="preserve">París (BUE-PAR)</t>
  </si>
  <si>
    <t xml:space="preserve">Varias (referencia sin fecha exacta)</t>
  </si>
  <si>
    <t xml:space="preserve">Feb–Mar 2027 (tarifa 'desde', estadía no confirmada)</t>
  </si>
  <si>
    <t xml:space="preserve">https://www.turismocity.com.ar/vuelos-baratos-a-PAR-paris</t>
  </si>
  <si>
    <t xml:space="preserve">Precio de referencia mensual 'desde' ARS 1,43 M. No se encontró tarifa fechada de ~14 días en 2027; Air France publica USD 1.539 para feb-2027.</t>
  </si>
  <si>
    <t xml:space="preserve">Roma (BUE-ROM)</t>
  </si>
  <si>
    <t xml:space="preserve">Mar 2027 (tarifa 'desde', estadía no confirmada)</t>
  </si>
  <si>
    <t xml:space="preserve">Referencia mensual 'desde' ARS 1,44 M. KAYAK: EZE-FCO 11/02–23/02/2027 (12 días) ≈ USD 1.014, fuera de rango de estadía.</t>
  </si>
  <si>
    <t xml:space="preserve">Carta de control – EZE → Europa, ida y vuelta (USD)</t>
  </si>
  <si>
    <t xml:space="preserve">Todo se recalcula desde la hoja Historial. Para agregar datos: sumá filas al final de Historial (columna B con la lista desplegable y copiá la fórmula de la columna M).</t>
  </si>
  <si>
    <t xml:space="preserve">'Último precio' = mejor precio de la última semana con datos. 'Referencia' = precios 'desde' o estadías fuera de 13–16 días; 'Fechada' = ida y vuelta concretas de 13–16 días.</t>
  </si>
  <si>
    <t xml:space="preserve">Mínimo histórico</t>
  </si>
  <si>
    <t xml:space="preserve">Promedio</t>
  </si>
  <si>
    <t xml:space="preserve">Último precio</t>
  </si>
  <si>
    <t xml:space="preserve">Semana del último</t>
  </si>
  <si>
    <t xml:space="preserve">Var. último vs promedio</t>
  </si>
  <si>
    <t xml:space="preserve">Var. último vs mínimo</t>
  </si>
  <si>
    <t xml:space="preserve">N° registros</t>
  </si>
  <si>
    <t xml:space="preserve">Mín. solo tarifas fechadas</t>
  </si>
  <si>
    <t xml:space="preserve">Estado</t>
  </si>
  <si>
    <t xml:space="preserve">Alternativas (MAD/BCN)</t>
  </si>
  <si>
    <t xml:space="preserve">Mejor precio semanal por ruta (USD) – base del gráfico</t>
  </si>
  <si>
    <t xml:space="preserve">Celdas N/D = ruta sin registro esa semana; el gráfico las saltea. Al sumar semanas nuevas, agregá la fecha (lunes) en la columna A y copiá las fórmulas de la fila de arriba.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</si>
</sst>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"/>
    <numFmt numFmtId="167" formatCode="\+0.0%;\-0.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Mejor precio semanal por ruta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Control!B13</c:f>
              <c:strCache>
                <c:ptCount val="1"/>
                <c:pt idx="0">
                  <c:v>París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Control!$A$14:$A$19</c:f>
              <c:strCache>
                <c:ptCount val="6"/>
                <c:pt idx="0">
                  <c:v>03/08/2026</c:v>
                </c:pt>
                <c:pt idx="1">
                  <c:v>17/08/2026</c:v>
                </c:pt>
                <c:pt idx="2">
                  <c:v>24/08/2026</c:v>
                </c:pt>
                <c:pt idx="3">
                  <c:v>31/08/2026</c:v>
                </c:pt>
                <c:pt idx="4">
                  <c:v>14/09/2026</c:v>
                </c:pt>
                <c:pt idx="5">
                  <c:v>21/09/2026</c:v>
                </c:pt>
              </c:strCache>
            </c:strRef>
          </c:cat>
          <c:val>
            <c:numRef>
              <c:f>Control!$B$14:$B$19</c:f>
              <c:numCache>
                <c:formatCode>\$#,##0</c:formatCode>
                <c:ptCount val="6"/>
                <c:pt idx="0">
                  <c:v>726</c:v>
                </c:pt>
                <c:pt idx="1">
                  <c:v>1088</c:v>
                </c:pt>
                <c:pt idx="2">
                  <c:v>725</c:v>
                </c:pt>
                <c:pt idx="3">
                  <c:v>1445</c:v>
                </c:pt>
                <c:pt idx="4">
                  <c:v>942</c:v>
                </c:pt>
                <c:pt idx="5">
                  <c:v>918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Control!C13</c:f>
              <c:strCache>
                <c:ptCount val="1"/>
                <c:pt idx="0">
                  <c:v>Roma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Control!$A$14:$A$19</c:f>
              <c:strCache>
                <c:ptCount val="6"/>
                <c:pt idx="0">
                  <c:v>03/08/2026</c:v>
                </c:pt>
                <c:pt idx="1">
                  <c:v>17/08/2026</c:v>
                </c:pt>
                <c:pt idx="2">
                  <c:v>24/08/2026</c:v>
                </c:pt>
                <c:pt idx="3">
                  <c:v>31/08/2026</c:v>
                </c:pt>
                <c:pt idx="4">
                  <c:v>14/09/2026</c:v>
                </c:pt>
                <c:pt idx="5">
                  <c:v>21/09/2026</c:v>
                </c:pt>
              </c:strCache>
            </c:strRef>
          </c:cat>
          <c:val>
            <c:numRef>
              <c:f>Control!$C$14:$C$19</c:f>
              <c:numCache>
                <c:formatCode>\$#,##0</c:formatCode>
                <c:ptCount val="6"/>
                <c:pt idx="0">
                  <c:v>999</c:v>
                </c:pt>
                <c:pt idx="1">
                  <c:v>1040</c:v>
                </c:pt>
                <c:pt idx="2">
                  <c:v>1257</c:v>
                </c:pt>
                <c:pt idx="3">
                  <c:v>1257</c:v>
                </c:pt>
                <c:pt idx="4">
                  <c:v>935</c:v>
                </c:pt>
                <c:pt idx="5">
                  <c:v>925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Control!D13</c:f>
              <c:strCache>
                <c:ptCount val="1"/>
                <c:pt idx="0">
                  <c:v>Milán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Control!$A$14:$A$19</c:f>
              <c:strCache>
                <c:ptCount val="6"/>
                <c:pt idx="0">
                  <c:v>03/08/2026</c:v>
                </c:pt>
                <c:pt idx="1">
                  <c:v>17/08/2026</c:v>
                </c:pt>
                <c:pt idx="2">
                  <c:v>24/08/2026</c:v>
                </c:pt>
                <c:pt idx="3">
                  <c:v>31/08/2026</c:v>
                </c:pt>
                <c:pt idx="4">
                  <c:v>14/09/2026</c:v>
                </c:pt>
                <c:pt idx="5">
                  <c:v>21/09/2026</c:v>
                </c:pt>
              </c:strCache>
            </c:strRef>
          </c:cat>
          <c:val>
            <c:numRef>
              <c:f>Control!$D$14:$D$19</c:f>
              <c:numCache>
                <c:formatCode>\$#,##0</c:formatCode>
                <c:ptCount val="6"/>
                <c:pt idx="0">
                  <c:v>1019</c:v>
                </c:pt>
                <c:pt idx="1">
                  <c:v>1148</c:v>
                </c:pt>
                <c:pt idx="2">
                  <c:v>1049</c:v>
                </c:pt>
                <c:pt idx="3">
                  <c:v>2011</c:v>
                </c:pt>
                <c:pt idx="4">
                  <c:v>910</c:v>
                </c:pt>
                <c:pt idx="5">
                  <c:v>891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Control!E13</c:f>
              <c:strCache>
                <c:ptCount val="1"/>
                <c:pt idx="0">
                  <c:v>Alternativas (MAD/BCN)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Control!$A$14:$A$19</c:f>
              <c:strCache>
                <c:ptCount val="6"/>
                <c:pt idx="0">
                  <c:v>03/08/2026</c:v>
                </c:pt>
                <c:pt idx="1">
                  <c:v>17/08/2026</c:v>
                </c:pt>
                <c:pt idx="2">
                  <c:v>24/08/2026</c:v>
                </c:pt>
                <c:pt idx="3">
                  <c:v>31/08/2026</c:v>
                </c:pt>
                <c:pt idx="4">
                  <c:v>14/09/2026</c:v>
                </c:pt>
                <c:pt idx="5">
                  <c:v>21/09/2026</c:v>
                </c:pt>
              </c:strCache>
            </c:strRef>
          </c:cat>
          <c:val>
            <c:numRef>
              <c:f>Control!$E$14:$E$19</c:f>
              <c:numCache>
                <c:formatCode>\$#,##0</c:formatCode>
                <c:ptCount val="6"/>
                <c:pt idx="0">
                  <c:v>942</c:v>
                </c:pt>
                <c:pt idx="1">
                  <c:v>970</c:v>
                </c:pt>
                <c:pt idx="2">
                  <c:v>958</c:v>
                </c:pt>
                <c:pt idx="4">
                  <c:v>845</c:v>
                </c:pt>
                <c:pt idx="5">
                  <c:v>872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536101"/>
        <c:axId val="34952405"/>
      </c:lineChart>
      <c:catAx>
        <c:axId val="86536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52405"/>
        <c:crosses val="autoZero"/>
        <c:auto val="1"/>
        <c:lblAlgn val="ctr"/>
        <c:lblOffset val="100"/>
        <c:noMultiLvlLbl val="0"/>
      </c:catAx>
      <c:valAx>
        <c:axId val="34952405"/>
        <c:scaling>
          <c:orientation val="minMax"/>
          <c:min val="6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361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11</xdr:row>
      <xdr:rowOff>0</xdr:rowOff>
    </xdr:from>
    <xdr:to>
      <xdr:col>16</xdr:col>
      <xdr:colOff>444600</xdr:colOff>
      <xdr:row>29</xdr:row>
      <xdr:rowOff>19800</xdr:rowOff>
    </xdr:to>
    <xdr:graphicFrame>
      <xdr:nvGraphicFramePr>
        <xdr:cNvPr id="1" name="Chart 1"/>
        <xdr:cNvGraphicFramePr/>
      </xdr:nvGraphicFramePr>
      <xdr:xfrm>
        <a:off x="6132240" y="24217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ireuropa.com/en-us/flight-deals-from-buenos-aires-1-to-madrid" TargetMode="External"/><Relationship Id="rId2" Type="http://schemas.openxmlformats.org/officeDocument/2006/relationships/hyperlink" Target="https://www.aireuropa.com/en-us/flight-deals-from-argentina-to-italy" TargetMode="External"/><Relationship Id="rId3" Type="http://schemas.openxmlformats.org/officeDocument/2006/relationships/hyperlink" Target="https://wwws.airfrance.com.ar/es-ar/vuelos-desde-buenos-aires-a-par&#237;s" TargetMode="External"/><Relationship Id="rId4" Type="http://schemas.openxmlformats.org/officeDocument/2006/relationships/hyperlink" Target="https://www.aireuropa.com/en-us/flight-deals-from-buenos-aires-1-to-rome" TargetMode="External"/><Relationship Id="rId5" Type="http://schemas.openxmlformats.org/officeDocument/2006/relationships/hyperlink" Target="https://wwws.airfrance.com.ar/es-ar/vuelos-desde-buenos-aires-a-roma" TargetMode="External"/><Relationship Id="rId6" Type="http://schemas.openxmlformats.org/officeDocument/2006/relationships/hyperlink" Target="https://www.es.kayak.com/vuelos/Buenos-Aires-BUE/Madrid-Adolfo-Suarez-Madrid-Barajas-MAD" TargetMode="External"/><Relationship Id="rId7" Type="http://schemas.openxmlformats.org/officeDocument/2006/relationships/hyperlink" Target="https://promociones-aereas.com.ar/2026/07/vuelos-a-milan-desde-buenos-aires-y-opciones-con-equipaje-ita-rt-p.html" TargetMode="External"/><Relationship Id="rId8" Type="http://schemas.openxmlformats.org/officeDocument/2006/relationships/hyperlink" Target="https://wwws.airfrance.com.ar/es-ar/vuelos-desde-buenos-aires-a-paris" TargetMode="External"/><Relationship Id="rId9" Type="http://schemas.openxmlformats.org/officeDocument/2006/relationships/hyperlink" Target="https://wwws.airfrance.com.ar/es-ar/vuelos-desde-buenos-aires-a-paris" TargetMode="External"/><Relationship Id="rId10" Type="http://schemas.openxmlformats.org/officeDocument/2006/relationships/hyperlink" Target="https://www.turismocity.com.ar/vuelos-baratos-dos-tramos-BUE-ROM,MAD-BUE" TargetMode="External"/><Relationship Id="rId11" Type="http://schemas.openxmlformats.org/officeDocument/2006/relationships/hyperlink" Target="https://promociones-aereas.com.ar/2026/05/vuelos-a-barcelona-o-a-madrid-desde-buenos-aires-latam-rt-p.html" TargetMode="External"/><Relationship Id="rId12" Type="http://schemas.openxmlformats.org/officeDocument/2006/relationships/hyperlink" Target="https://www.kayak.com.ar/vuelos/Buenos-Aires-BUE/Espana-ES0" TargetMode="External"/><Relationship Id="rId13" Type="http://schemas.openxmlformats.org/officeDocument/2006/relationships/hyperlink" Target="https://www.kayak.com.ar/vuelos/Buenos-Aires-BUE/Milan-MIL" TargetMode="External"/><Relationship Id="rId14" Type="http://schemas.openxmlformats.org/officeDocument/2006/relationships/hyperlink" Target="https://www.skyscanner.com/routes/cdg/eze/paris-charles-de-gaulle-to-buenos-aires-ministro-pistarini.html" TargetMode="External"/><Relationship Id="rId15" Type="http://schemas.openxmlformats.org/officeDocument/2006/relationships/hyperlink" Target="https://wwws.airfrance.com.ar/es-ar/vuelos-desde-buenos-aires-a-roma" TargetMode="External"/><Relationship Id="rId16" Type="http://schemas.openxmlformats.org/officeDocument/2006/relationships/hyperlink" Target="https://www.aireuropa.com/en-us/flight-deals-from-argentina-to-spain" TargetMode="External"/><Relationship Id="rId17" Type="http://schemas.openxmlformats.org/officeDocument/2006/relationships/hyperlink" Target="https://www.aireuropa.com/en-us/flight-deals-from-argentina-to-spain" TargetMode="External"/><Relationship Id="rId18" Type="http://schemas.openxmlformats.org/officeDocument/2006/relationships/hyperlink" Target="https://www.aireuropa.com/en-us/flight-deals-from-argentina-to-italy" TargetMode="External"/><Relationship Id="rId19" Type="http://schemas.openxmlformats.org/officeDocument/2006/relationships/hyperlink" Target="https://wwws.airfrance.com.ar/es-ar/vuelos-desde-buenos-aires-a-par&#237;s" TargetMode="External"/><Relationship Id="rId20" Type="http://schemas.openxmlformats.org/officeDocument/2006/relationships/hyperlink" Target="https://www.aireuropa.com/en-us/flight-deals-from-argentina-to-italy" TargetMode="External"/><Relationship Id="rId21" Type="http://schemas.openxmlformats.org/officeDocument/2006/relationships/hyperlink" Target="https://wwws.airfrance.com.ar/es-ar/vuelos-desde-buenos-aires-a-mil&#225;n" TargetMode="External"/><Relationship Id="rId22" Type="http://schemas.openxmlformats.org/officeDocument/2006/relationships/hyperlink" Target="https://wwws.airfrance.com.ar/es-ar/vuelos-desde-buenos-aires-a-par&#237;s" TargetMode="External"/><Relationship Id="rId23" Type="http://schemas.openxmlformats.org/officeDocument/2006/relationships/hyperlink" Target="https://www.turismocity.com.ar/vuelos-baratos-dos-tramos-BUE-ROM,MAD-BUE" TargetMode="External"/><Relationship Id="rId24" Type="http://schemas.openxmlformats.org/officeDocument/2006/relationships/hyperlink" Target="https://www.aireuropa.com/en-us/flight-deals-from-buenos-aires-1-to-rome" TargetMode="External"/><Relationship Id="rId25" Type="http://schemas.openxmlformats.org/officeDocument/2006/relationships/hyperlink" Target="https://wwws.airfrance.com.ar/es-ar/vuelos-desde-buenos-aires-a-roma" TargetMode="External"/><Relationship Id="rId26" Type="http://schemas.openxmlformats.org/officeDocument/2006/relationships/hyperlink" Target="https://www.turismocity.com.ar/vuelos-baratos-a-BCN-Barcelona" TargetMode="External"/><Relationship Id="rId27" Type="http://schemas.openxmlformats.org/officeDocument/2006/relationships/hyperlink" Target="https://www.turismocity.com.ar/vuelos-baratos-a-MAD-madrid" TargetMode="External"/><Relationship Id="rId28" Type="http://schemas.openxmlformats.org/officeDocument/2006/relationships/hyperlink" Target="https://www.turismocity.com.ar/vuelos-baratos-a-MIL-milan" TargetMode="External"/><Relationship Id="rId29" Type="http://schemas.openxmlformats.org/officeDocument/2006/relationships/hyperlink" Target="https://www.turismocity.com.ar/vuelos-baratos-a-PAR-Paris" TargetMode="External"/><Relationship Id="rId30" Type="http://schemas.openxmlformats.org/officeDocument/2006/relationships/hyperlink" Target="https://www.turismocity.com.ar/vuelos-baratos-a-ROM-roma" TargetMode="External"/><Relationship Id="rId31" Type="http://schemas.openxmlformats.org/officeDocument/2006/relationships/hyperlink" Target="https://www.kayak.com.ar/vuelos/Argentina-AR0/Madrid-Adolfo-Suarez-Madrid-Barajas-MAD" TargetMode="External"/><Relationship Id="rId32" Type="http://schemas.openxmlformats.org/officeDocument/2006/relationships/hyperlink" Target="https://www.kayak.com.ar/vuelos/Buenos-Aires-BUE/Italia-IT0" TargetMode="External"/><Relationship Id="rId33" Type="http://schemas.openxmlformats.org/officeDocument/2006/relationships/hyperlink" Target="https://www.kayak.com.ar/vuelos/Buenos-Aires-BUE/Milan-MIL" TargetMode="External"/><Relationship Id="rId34" Type="http://schemas.openxmlformats.org/officeDocument/2006/relationships/hyperlink" Target="https://www.turismocity.com.ar/vuelos-baratos-a-PAR-paris" TargetMode="External"/><Relationship Id="rId35" Type="http://schemas.openxmlformats.org/officeDocument/2006/relationships/hyperlink" Target="https://www.turismocity.com.ar/vuelos-baratos-a-ROM-roma" TargetMode="External"/><Relationship Id="rId3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55"/>
    <col collapsed="false" customWidth="true" hidden="false" outlineLevel="0" max="12" min="12" style="0" width="26"/>
    <col collapsed="false" customWidth="true" hidden="false" outlineLevel="0" max="13" min="13" style="0" width="12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6.85" hidden="false" customHeight="false" outlineLevel="0" collapsed="false">
      <c r="A2" s="2" t="n">
        <v>46240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3" t="s">
        <v>17</v>
      </c>
      <c r="H2" s="4" t="n">
        <v>1077</v>
      </c>
      <c r="I2" s="3" t="s">
        <v>18</v>
      </c>
      <c r="J2" s="5" t="s">
        <v>19</v>
      </c>
      <c r="K2" s="3" t="s">
        <v>20</v>
      </c>
      <c r="L2" s="3" t="s">
        <v>21</v>
      </c>
      <c r="M2" s="2" t="n">
        <f aca="false">A2-WEEKDAY(A2,2)+1</f>
        <v>46237</v>
      </c>
    </row>
    <row r="3" customFormat="false" ht="15" hidden="false" customHeight="false" outlineLevel="0" collapsed="false">
      <c r="A3" s="2" t="n">
        <v>46240</v>
      </c>
      <c r="B3" s="3" t="s">
        <v>22</v>
      </c>
      <c r="C3" s="3" t="s">
        <v>22</v>
      </c>
      <c r="D3" s="3" t="s">
        <v>15</v>
      </c>
      <c r="E3" s="3" t="s">
        <v>23</v>
      </c>
      <c r="F3" s="3"/>
      <c r="G3" s="3" t="s">
        <v>17</v>
      </c>
      <c r="H3" s="4" t="n">
        <v>1164</v>
      </c>
      <c r="I3" s="3" t="s">
        <v>15</v>
      </c>
      <c r="J3" s="5" t="s">
        <v>24</v>
      </c>
      <c r="K3" s="3" t="s">
        <v>25</v>
      </c>
      <c r="L3" s="3" t="s">
        <v>21</v>
      </c>
      <c r="M3" s="2" t="n">
        <f aca="false">A3-WEEKDAY(A3,2)+1</f>
        <v>46237</v>
      </c>
    </row>
    <row r="4" customFormat="false" ht="26.85" hidden="false" customHeight="false" outlineLevel="0" collapsed="false">
      <c r="A4" s="2" t="n">
        <v>46240</v>
      </c>
      <c r="B4" s="3" t="s">
        <v>26</v>
      </c>
      <c r="C4" s="3" t="s">
        <v>26</v>
      </c>
      <c r="D4" s="3" t="s">
        <v>27</v>
      </c>
      <c r="E4" s="3" t="s">
        <v>28</v>
      </c>
      <c r="F4" s="3" t="n">
        <v>21</v>
      </c>
      <c r="G4" s="3" t="s">
        <v>17</v>
      </c>
      <c r="H4" s="4" t="n">
        <v>888</v>
      </c>
      <c r="I4" s="3" t="s">
        <v>29</v>
      </c>
      <c r="J4" s="5" t="s">
        <v>30</v>
      </c>
      <c r="K4" s="3" t="s">
        <v>31</v>
      </c>
      <c r="L4" s="3" t="s">
        <v>21</v>
      </c>
      <c r="M4" s="2" t="n">
        <f aca="false">A4-WEEKDAY(A4,2)+1</f>
        <v>46237</v>
      </c>
    </row>
    <row r="5" customFormat="false" ht="26.85" hidden="false" customHeight="false" outlineLevel="0" collapsed="false">
      <c r="A5" s="2" t="n">
        <v>46240</v>
      </c>
      <c r="B5" s="3" t="s">
        <v>32</v>
      </c>
      <c r="C5" s="3" t="s">
        <v>32</v>
      </c>
      <c r="D5" s="3" t="s">
        <v>33</v>
      </c>
      <c r="E5" s="3" t="s">
        <v>23</v>
      </c>
      <c r="F5" s="3"/>
      <c r="G5" s="3" t="s">
        <v>17</v>
      </c>
      <c r="H5" s="4" t="n">
        <v>999</v>
      </c>
      <c r="I5" s="3" t="s">
        <v>34</v>
      </c>
      <c r="J5" s="5" t="s">
        <v>35</v>
      </c>
      <c r="K5" s="3" t="s">
        <v>36</v>
      </c>
      <c r="L5" s="3" t="s">
        <v>21</v>
      </c>
      <c r="M5" s="2" t="n">
        <f aca="false">A5-WEEKDAY(A5,2)+1</f>
        <v>46237</v>
      </c>
    </row>
    <row r="6" customFormat="false" ht="15" hidden="false" customHeight="false" outlineLevel="0" collapsed="false">
      <c r="A6" s="2" t="n">
        <v>46240</v>
      </c>
      <c r="B6" s="3" t="s">
        <v>32</v>
      </c>
      <c r="C6" s="3" t="s">
        <v>32</v>
      </c>
      <c r="D6" s="3" t="s">
        <v>27</v>
      </c>
      <c r="E6" s="3" t="s">
        <v>16</v>
      </c>
      <c r="F6" s="3"/>
      <c r="G6" s="3" t="s">
        <v>17</v>
      </c>
      <c r="H6" s="4" t="n">
        <v>1031</v>
      </c>
      <c r="I6" s="3" t="s">
        <v>29</v>
      </c>
      <c r="J6" s="5" t="s">
        <v>37</v>
      </c>
      <c r="K6" s="3" t="s">
        <v>38</v>
      </c>
      <c r="L6" s="3" t="s">
        <v>21</v>
      </c>
      <c r="M6" s="2" t="n">
        <f aca="false">A6-WEEKDAY(A6,2)+1</f>
        <v>46237</v>
      </c>
    </row>
    <row r="7" customFormat="false" ht="64.9" hidden="false" customHeight="false" outlineLevel="0" collapsed="false">
      <c r="A7" s="2" t="n">
        <v>46241</v>
      </c>
      <c r="B7" s="3" t="s">
        <v>13</v>
      </c>
      <c r="C7" s="3" t="s">
        <v>14</v>
      </c>
      <c r="D7" s="3" t="s">
        <v>39</v>
      </c>
      <c r="E7" s="3" t="s">
        <v>40</v>
      </c>
      <c r="F7" s="3"/>
      <c r="G7" s="3" t="s">
        <v>17</v>
      </c>
      <c r="H7" s="4" t="n">
        <v>942</v>
      </c>
      <c r="I7" s="3" t="s">
        <v>41</v>
      </c>
      <c r="J7" s="5" t="s">
        <v>42</v>
      </c>
      <c r="K7" s="3" t="s">
        <v>43</v>
      </c>
      <c r="L7" s="3" t="s">
        <v>44</v>
      </c>
      <c r="M7" s="2" t="n">
        <f aca="false">A7-WEEKDAY(A7,2)+1</f>
        <v>46237</v>
      </c>
    </row>
    <row r="8" customFormat="false" ht="39.55" hidden="false" customHeight="false" outlineLevel="0" collapsed="false">
      <c r="A8" s="2" t="n">
        <v>46241</v>
      </c>
      <c r="B8" s="3" t="s">
        <v>22</v>
      </c>
      <c r="C8" s="3" t="s">
        <v>22</v>
      </c>
      <c r="D8" s="3" t="s">
        <v>45</v>
      </c>
      <c r="E8" s="3" t="s">
        <v>46</v>
      </c>
      <c r="F8" s="3"/>
      <c r="G8" s="3" t="s">
        <v>17</v>
      </c>
      <c r="H8" s="4" t="n">
        <v>1019</v>
      </c>
      <c r="I8" s="3" t="s">
        <v>47</v>
      </c>
      <c r="J8" s="5" t="s">
        <v>48</v>
      </c>
      <c r="K8" s="3" t="s">
        <v>49</v>
      </c>
      <c r="L8" s="3" t="s">
        <v>44</v>
      </c>
      <c r="M8" s="2" t="n">
        <f aca="false">A8-WEEKDAY(A8,2)+1</f>
        <v>46237</v>
      </c>
    </row>
    <row r="9" customFormat="false" ht="39.55" hidden="false" customHeight="false" outlineLevel="0" collapsed="false">
      <c r="A9" s="2" t="n">
        <v>46241</v>
      </c>
      <c r="B9" s="3" t="s">
        <v>26</v>
      </c>
      <c r="C9" s="3" t="s">
        <v>26</v>
      </c>
      <c r="D9" s="3" t="s">
        <v>27</v>
      </c>
      <c r="E9" s="3" t="s">
        <v>50</v>
      </c>
      <c r="F9" s="3" t="n">
        <v>14</v>
      </c>
      <c r="G9" s="3" t="s">
        <v>51</v>
      </c>
      <c r="H9" s="4" t="n">
        <v>726</v>
      </c>
      <c r="I9" s="3" t="s">
        <v>52</v>
      </c>
      <c r="J9" s="5" t="s">
        <v>53</v>
      </c>
      <c r="K9" s="3" t="s">
        <v>54</v>
      </c>
      <c r="L9" s="3" t="s">
        <v>44</v>
      </c>
      <c r="M9" s="2" t="n">
        <f aca="false">A9-WEEKDAY(A9,2)+1</f>
        <v>46237</v>
      </c>
    </row>
    <row r="10" customFormat="false" ht="52.2" hidden="false" customHeight="false" outlineLevel="0" collapsed="false">
      <c r="A10" s="2" t="n">
        <v>46241</v>
      </c>
      <c r="B10" s="3" t="s">
        <v>26</v>
      </c>
      <c r="C10" s="3" t="s">
        <v>26</v>
      </c>
      <c r="D10" s="3" t="s">
        <v>27</v>
      </c>
      <c r="E10" s="3" t="s">
        <v>55</v>
      </c>
      <c r="F10" s="3" t="n">
        <v>14</v>
      </c>
      <c r="G10" s="3" t="s">
        <v>51</v>
      </c>
      <c r="H10" s="4" t="n">
        <v>774</v>
      </c>
      <c r="I10" s="3" t="s">
        <v>52</v>
      </c>
      <c r="J10" s="5" t="s">
        <v>53</v>
      </c>
      <c r="K10" s="3" t="s">
        <v>56</v>
      </c>
      <c r="L10" s="3" t="s">
        <v>44</v>
      </c>
      <c r="M10" s="2" t="n">
        <f aca="false">A10-WEEKDAY(A10,2)+1</f>
        <v>46237</v>
      </c>
    </row>
    <row r="11" customFormat="false" ht="26.85" hidden="false" customHeight="false" outlineLevel="0" collapsed="false">
      <c r="A11" s="2" t="n">
        <v>46241</v>
      </c>
      <c r="B11" s="3" t="s">
        <v>32</v>
      </c>
      <c r="C11" s="3" t="s">
        <v>32</v>
      </c>
      <c r="D11" s="3" t="s">
        <v>57</v>
      </c>
      <c r="E11" s="3" t="s">
        <v>58</v>
      </c>
      <c r="F11" s="3"/>
      <c r="G11" s="3" t="s">
        <v>17</v>
      </c>
      <c r="H11" s="4" t="n">
        <v>1023</v>
      </c>
      <c r="I11" s="3" t="s">
        <v>59</v>
      </c>
      <c r="J11" s="5" t="s">
        <v>60</v>
      </c>
      <c r="K11" s="3" t="s">
        <v>61</v>
      </c>
      <c r="L11" s="3" t="s">
        <v>44</v>
      </c>
      <c r="M11" s="2" t="n">
        <f aca="false">A11-WEEKDAY(A11,2)+1</f>
        <v>46237</v>
      </c>
    </row>
    <row r="12" customFormat="false" ht="26.85" hidden="false" customHeight="false" outlineLevel="0" collapsed="false">
      <c r="A12" s="2" t="n">
        <v>46256</v>
      </c>
      <c r="B12" s="3" t="s">
        <v>62</v>
      </c>
      <c r="C12" s="3" t="s">
        <v>63</v>
      </c>
      <c r="D12" s="3" t="s">
        <v>64</v>
      </c>
      <c r="E12" s="3" t="s">
        <v>65</v>
      </c>
      <c r="F12" s="3" t="n">
        <v>14</v>
      </c>
      <c r="G12" s="3" t="s">
        <v>17</v>
      </c>
      <c r="H12" s="4" t="n">
        <v>970</v>
      </c>
      <c r="I12" s="3" t="s">
        <v>66</v>
      </c>
      <c r="J12" s="5" t="s">
        <v>67</v>
      </c>
      <c r="K12" s="3" t="s">
        <v>68</v>
      </c>
      <c r="L12" s="3" t="s">
        <v>69</v>
      </c>
      <c r="M12" s="2" t="n">
        <f aca="false">A12-WEEKDAY(A12,2)+1</f>
        <v>46251</v>
      </c>
    </row>
    <row r="13" customFormat="false" ht="26.85" hidden="false" customHeight="false" outlineLevel="0" collapsed="false">
      <c r="A13" s="2" t="n">
        <v>46256</v>
      </c>
      <c r="B13" s="3" t="s">
        <v>13</v>
      </c>
      <c r="C13" s="3" t="s">
        <v>70</v>
      </c>
      <c r="D13" s="3" t="s">
        <v>71</v>
      </c>
      <c r="E13" s="3" t="s">
        <v>72</v>
      </c>
      <c r="F13" s="3" t="n">
        <v>14</v>
      </c>
      <c r="G13" s="3" t="s">
        <v>17</v>
      </c>
      <c r="H13" s="4" t="n">
        <v>1050</v>
      </c>
      <c r="I13" s="3" t="s">
        <v>73</v>
      </c>
      <c r="J13" s="5" t="s">
        <v>74</v>
      </c>
      <c r="K13" s="3" t="s">
        <v>75</v>
      </c>
      <c r="L13" s="3" t="s">
        <v>69</v>
      </c>
      <c r="M13" s="2" t="n">
        <f aca="false">A13-WEEKDAY(A13,2)+1</f>
        <v>46251</v>
      </c>
    </row>
    <row r="14" customFormat="false" ht="26.85" hidden="false" customHeight="false" outlineLevel="0" collapsed="false">
      <c r="A14" s="2" t="n">
        <v>46256</v>
      </c>
      <c r="B14" s="3" t="s">
        <v>22</v>
      </c>
      <c r="C14" s="3" t="s">
        <v>76</v>
      </c>
      <c r="D14" s="3" t="s">
        <v>77</v>
      </c>
      <c r="E14" s="3" t="s">
        <v>78</v>
      </c>
      <c r="F14" s="3" t="n">
        <v>14</v>
      </c>
      <c r="G14" s="3" t="s">
        <v>17</v>
      </c>
      <c r="H14" s="4" t="n">
        <v>1148</v>
      </c>
      <c r="I14" s="3" t="s">
        <v>79</v>
      </c>
      <c r="J14" s="5" t="s">
        <v>80</v>
      </c>
      <c r="K14" s="3" t="s">
        <v>81</v>
      </c>
      <c r="L14" s="3" t="s">
        <v>69</v>
      </c>
      <c r="M14" s="2" t="n">
        <f aca="false">A14-WEEKDAY(A14,2)+1</f>
        <v>46251</v>
      </c>
    </row>
    <row r="15" customFormat="false" ht="39.55" hidden="false" customHeight="false" outlineLevel="0" collapsed="false">
      <c r="A15" s="2" t="n">
        <v>46256</v>
      </c>
      <c r="B15" s="3" t="s">
        <v>26</v>
      </c>
      <c r="C15" s="3" t="s">
        <v>82</v>
      </c>
      <c r="D15" s="3" t="s">
        <v>27</v>
      </c>
      <c r="E15" s="3" t="s">
        <v>83</v>
      </c>
      <c r="F15" s="3" t="n">
        <v>14</v>
      </c>
      <c r="G15" s="3" t="s">
        <v>17</v>
      </c>
      <c r="H15" s="4" t="n">
        <v>1088</v>
      </c>
      <c r="I15" s="3" t="s">
        <v>84</v>
      </c>
      <c r="J15" s="5" t="s">
        <v>85</v>
      </c>
      <c r="K15" s="3" t="s">
        <v>86</v>
      </c>
      <c r="L15" s="3" t="s">
        <v>69</v>
      </c>
      <c r="M15" s="2" t="n">
        <f aca="false">A15-WEEKDAY(A15,2)+1</f>
        <v>46251</v>
      </c>
    </row>
    <row r="16" customFormat="false" ht="26.85" hidden="false" customHeight="false" outlineLevel="0" collapsed="false">
      <c r="A16" s="2" t="n">
        <v>46256</v>
      </c>
      <c r="B16" s="3" t="s">
        <v>32</v>
      </c>
      <c r="C16" s="3" t="s">
        <v>32</v>
      </c>
      <c r="D16" s="3" t="s">
        <v>27</v>
      </c>
      <c r="E16" s="3" t="s">
        <v>87</v>
      </c>
      <c r="F16" s="3" t="n">
        <v>14</v>
      </c>
      <c r="G16" s="3" t="s">
        <v>17</v>
      </c>
      <c r="H16" s="4" t="n">
        <v>1040</v>
      </c>
      <c r="I16" s="3" t="s">
        <v>88</v>
      </c>
      <c r="J16" s="5" t="s">
        <v>37</v>
      </c>
      <c r="K16" s="3" t="s">
        <v>89</v>
      </c>
      <c r="L16" s="3" t="s">
        <v>69</v>
      </c>
      <c r="M16" s="2" t="n">
        <f aca="false">A16-WEEKDAY(A16,2)+1</f>
        <v>46251</v>
      </c>
    </row>
    <row r="17" customFormat="false" ht="39.55" hidden="false" customHeight="false" outlineLevel="0" collapsed="false">
      <c r="A17" s="2" t="n">
        <v>46263</v>
      </c>
      <c r="B17" s="3" t="s">
        <v>62</v>
      </c>
      <c r="C17" s="3" t="s">
        <v>90</v>
      </c>
      <c r="D17" s="3" t="s">
        <v>15</v>
      </c>
      <c r="E17" s="3" t="s">
        <v>91</v>
      </c>
      <c r="F17" s="3" t="n">
        <v>22</v>
      </c>
      <c r="G17" s="3" t="s">
        <v>17</v>
      </c>
      <c r="H17" s="4" t="n">
        <v>1016</v>
      </c>
      <c r="I17" s="3" t="s">
        <v>92</v>
      </c>
      <c r="J17" s="5" t="s">
        <v>93</v>
      </c>
      <c r="K17" s="3" t="s">
        <v>94</v>
      </c>
      <c r="L17" s="3" t="s">
        <v>95</v>
      </c>
      <c r="M17" s="2" t="n">
        <f aca="false">A17-WEEKDAY(A17,2)+1</f>
        <v>46258</v>
      </c>
    </row>
    <row r="18" customFormat="false" ht="39.55" hidden="false" customHeight="false" outlineLevel="0" collapsed="false">
      <c r="A18" s="2" t="n">
        <v>46263</v>
      </c>
      <c r="B18" s="3" t="s">
        <v>13</v>
      </c>
      <c r="C18" s="3" t="s">
        <v>96</v>
      </c>
      <c r="D18" s="3" t="s">
        <v>15</v>
      </c>
      <c r="E18" s="3" t="s">
        <v>97</v>
      </c>
      <c r="F18" s="3" t="n">
        <v>20</v>
      </c>
      <c r="G18" s="3" t="s">
        <v>17</v>
      </c>
      <c r="H18" s="4" t="n">
        <v>958</v>
      </c>
      <c r="I18" s="3" t="s">
        <v>92</v>
      </c>
      <c r="J18" s="5" t="s">
        <v>93</v>
      </c>
      <c r="K18" s="3" t="s">
        <v>98</v>
      </c>
      <c r="L18" s="3" t="s">
        <v>95</v>
      </c>
      <c r="M18" s="2" t="n">
        <f aca="false">A18-WEEKDAY(A18,2)+1</f>
        <v>46258</v>
      </c>
    </row>
    <row r="19" customFormat="false" ht="26.85" hidden="false" customHeight="false" outlineLevel="0" collapsed="false">
      <c r="A19" s="2" t="n">
        <v>46263</v>
      </c>
      <c r="B19" s="3" t="s">
        <v>22</v>
      </c>
      <c r="C19" s="3" t="s">
        <v>99</v>
      </c>
      <c r="D19" s="3" t="s">
        <v>15</v>
      </c>
      <c r="E19" s="3" t="s">
        <v>100</v>
      </c>
      <c r="F19" s="3" t="n">
        <v>20</v>
      </c>
      <c r="G19" s="3" t="s">
        <v>17</v>
      </c>
      <c r="H19" s="4" t="n">
        <v>1049</v>
      </c>
      <c r="I19" s="3" t="s">
        <v>92</v>
      </c>
      <c r="J19" s="5" t="s">
        <v>24</v>
      </c>
      <c r="K19" s="3" t="s">
        <v>101</v>
      </c>
      <c r="L19" s="3" t="s">
        <v>95</v>
      </c>
      <c r="M19" s="2" t="n">
        <f aca="false">A19-WEEKDAY(A19,2)+1</f>
        <v>46258</v>
      </c>
    </row>
    <row r="20" customFormat="false" ht="77.6" hidden="false" customHeight="false" outlineLevel="0" collapsed="false">
      <c r="A20" s="2" t="n">
        <v>46263</v>
      </c>
      <c r="B20" s="3" t="s">
        <v>26</v>
      </c>
      <c r="C20" s="3" t="s">
        <v>102</v>
      </c>
      <c r="D20" s="3" t="s">
        <v>27</v>
      </c>
      <c r="E20" s="3" t="s">
        <v>103</v>
      </c>
      <c r="F20" s="3"/>
      <c r="G20" s="3" t="s">
        <v>17</v>
      </c>
      <c r="H20" s="4" t="n">
        <v>725</v>
      </c>
      <c r="I20" s="3" t="s">
        <v>104</v>
      </c>
      <c r="J20" s="5" t="s">
        <v>30</v>
      </c>
      <c r="K20" s="3" t="s">
        <v>105</v>
      </c>
      <c r="L20" s="3" t="s">
        <v>95</v>
      </c>
      <c r="M20" s="2" t="n">
        <f aca="false">A20-WEEKDAY(A20,2)+1</f>
        <v>46258</v>
      </c>
    </row>
    <row r="21" customFormat="false" ht="26.85" hidden="false" customHeight="false" outlineLevel="0" collapsed="false">
      <c r="A21" s="2" t="n">
        <v>46263</v>
      </c>
      <c r="B21" s="3" t="s">
        <v>32</v>
      </c>
      <c r="C21" s="3" t="s">
        <v>106</v>
      </c>
      <c r="D21" s="3" t="s">
        <v>15</v>
      </c>
      <c r="E21" s="3" t="s">
        <v>107</v>
      </c>
      <c r="F21" s="3" t="n">
        <v>19</v>
      </c>
      <c r="G21" s="3" t="s">
        <v>17</v>
      </c>
      <c r="H21" s="4" t="n">
        <v>1257</v>
      </c>
      <c r="I21" s="3" t="s">
        <v>92</v>
      </c>
      <c r="J21" s="5" t="s">
        <v>24</v>
      </c>
      <c r="K21" s="3" t="s">
        <v>108</v>
      </c>
      <c r="L21" s="3" t="s">
        <v>95</v>
      </c>
      <c r="M21" s="2" t="n">
        <f aca="false">A21-WEEKDAY(A21,2)+1</f>
        <v>46258</v>
      </c>
    </row>
    <row r="22" customFormat="false" ht="39.55" hidden="false" customHeight="false" outlineLevel="0" collapsed="false">
      <c r="A22" s="2" t="n">
        <v>46269</v>
      </c>
      <c r="B22" s="3" t="s">
        <v>22</v>
      </c>
      <c r="C22" s="3" t="s">
        <v>109</v>
      </c>
      <c r="D22" s="3" t="s">
        <v>27</v>
      </c>
      <c r="E22" s="3" t="s">
        <v>110</v>
      </c>
      <c r="F22" s="3"/>
      <c r="G22" s="3" t="s">
        <v>17</v>
      </c>
      <c r="H22" s="4" t="n">
        <v>2011</v>
      </c>
      <c r="I22" s="3" t="s">
        <v>111</v>
      </c>
      <c r="J22" s="5" t="s">
        <v>112</v>
      </c>
      <c r="K22" s="3" t="s">
        <v>113</v>
      </c>
      <c r="L22" s="3" t="s">
        <v>114</v>
      </c>
      <c r="M22" s="2" t="n">
        <f aca="false">A22-WEEKDAY(A22,2)+1</f>
        <v>46265</v>
      </c>
    </row>
    <row r="23" customFormat="false" ht="39.55" hidden="false" customHeight="false" outlineLevel="0" collapsed="false">
      <c r="A23" s="2" t="n">
        <v>46269</v>
      </c>
      <c r="B23" s="3" t="s">
        <v>26</v>
      </c>
      <c r="C23" s="3" t="s">
        <v>115</v>
      </c>
      <c r="D23" s="3" t="s">
        <v>27</v>
      </c>
      <c r="E23" s="3" t="s">
        <v>110</v>
      </c>
      <c r="F23" s="3"/>
      <c r="G23" s="3" t="s">
        <v>17</v>
      </c>
      <c r="H23" s="4" t="n">
        <v>1445</v>
      </c>
      <c r="I23" s="3" t="s">
        <v>111</v>
      </c>
      <c r="J23" s="5" t="s">
        <v>30</v>
      </c>
      <c r="K23" s="3" t="s">
        <v>113</v>
      </c>
      <c r="L23" s="3" t="s">
        <v>114</v>
      </c>
      <c r="M23" s="2" t="n">
        <f aca="false">A23-WEEKDAY(A23,2)+1</f>
        <v>46265</v>
      </c>
    </row>
    <row r="24" customFormat="false" ht="39.55" hidden="false" customHeight="false" outlineLevel="0" collapsed="false">
      <c r="A24" s="2" t="n">
        <v>46269</v>
      </c>
      <c r="B24" s="3" t="s">
        <v>32</v>
      </c>
      <c r="C24" s="3" t="s">
        <v>116</v>
      </c>
      <c r="D24" s="3" t="s">
        <v>117</v>
      </c>
      <c r="E24" s="3" t="s">
        <v>118</v>
      </c>
      <c r="F24" s="3"/>
      <c r="G24" s="3" t="s">
        <v>17</v>
      </c>
      <c r="H24" s="4" t="n">
        <v>1257</v>
      </c>
      <c r="I24" s="3" t="s">
        <v>59</v>
      </c>
      <c r="J24" s="5" t="s">
        <v>60</v>
      </c>
      <c r="K24" s="3" t="s">
        <v>119</v>
      </c>
      <c r="L24" s="3" t="s">
        <v>114</v>
      </c>
      <c r="M24" s="2" t="n">
        <f aca="false">A24-WEEKDAY(A24,2)+1</f>
        <v>46265</v>
      </c>
    </row>
    <row r="25" customFormat="false" ht="39.55" hidden="false" customHeight="false" outlineLevel="0" collapsed="false">
      <c r="A25" s="2" t="n">
        <v>46269</v>
      </c>
      <c r="B25" s="3" t="s">
        <v>32</v>
      </c>
      <c r="C25" s="3" t="s">
        <v>120</v>
      </c>
      <c r="D25" s="3" t="s">
        <v>15</v>
      </c>
      <c r="E25" s="3" t="s">
        <v>121</v>
      </c>
      <c r="F25" s="3"/>
      <c r="G25" s="3" t="s">
        <v>17</v>
      </c>
      <c r="H25" s="4" t="n">
        <v>1263</v>
      </c>
      <c r="I25" s="3" t="s">
        <v>15</v>
      </c>
      <c r="J25" s="5" t="s">
        <v>35</v>
      </c>
      <c r="K25" s="3" t="s">
        <v>119</v>
      </c>
      <c r="L25" s="3" t="s">
        <v>114</v>
      </c>
      <c r="M25" s="2" t="n">
        <f aca="false">A25-WEEKDAY(A25,2)+1</f>
        <v>46265</v>
      </c>
    </row>
    <row r="26" customFormat="false" ht="39.55" hidden="false" customHeight="false" outlineLevel="0" collapsed="false">
      <c r="A26" s="2" t="n">
        <v>46269</v>
      </c>
      <c r="B26" s="3" t="s">
        <v>32</v>
      </c>
      <c r="C26" s="3" t="s">
        <v>122</v>
      </c>
      <c r="D26" s="3" t="s">
        <v>27</v>
      </c>
      <c r="E26" s="3" t="s">
        <v>110</v>
      </c>
      <c r="F26" s="3"/>
      <c r="G26" s="3" t="s">
        <v>17</v>
      </c>
      <c r="H26" s="4" t="n">
        <v>1341</v>
      </c>
      <c r="I26" s="3" t="s">
        <v>111</v>
      </c>
      <c r="J26" s="5" t="s">
        <v>37</v>
      </c>
      <c r="K26" s="3" t="s">
        <v>113</v>
      </c>
      <c r="L26" s="3" t="s">
        <v>114</v>
      </c>
      <c r="M26" s="2" t="n">
        <f aca="false">A26-WEEKDAY(A26,2)+1</f>
        <v>46265</v>
      </c>
    </row>
    <row r="27" customFormat="false" ht="39.55" hidden="false" customHeight="false" outlineLevel="0" collapsed="false">
      <c r="A27" s="2" t="n">
        <v>46283</v>
      </c>
      <c r="B27" s="3" t="s">
        <v>62</v>
      </c>
      <c r="C27" s="3" t="s">
        <v>123</v>
      </c>
      <c r="D27" s="3" t="s">
        <v>124</v>
      </c>
      <c r="E27" s="3" t="s">
        <v>125</v>
      </c>
      <c r="F27" s="3" t="n">
        <v>14</v>
      </c>
      <c r="G27" s="3" t="s">
        <v>17</v>
      </c>
      <c r="H27" s="4" t="n">
        <v>897</v>
      </c>
      <c r="I27" s="3" t="s">
        <v>126</v>
      </c>
      <c r="J27" s="5" t="s">
        <v>127</v>
      </c>
      <c r="K27" s="3" t="s">
        <v>128</v>
      </c>
      <c r="L27" s="3" t="s">
        <v>129</v>
      </c>
      <c r="M27" s="2" t="n">
        <f aca="false">A27-WEEKDAY(A27,2)+1</f>
        <v>46279</v>
      </c>
    </row>
    <row r="28" customFormat="false" ht="52.2" hidden="false" customHeight="false" outlineLevel="0" collapsed="false">
      <c r="A28" s="2" t="n">
        <v>46283</v>
      </c>
      <c r="B28" s="3" t="s">
        <v>13</v>
      </c>
      <c r="C28" s="3" t="s">
        <v>14</v>
      </c>
      <c r="D28" s="3" t="s">
        <v>130</v>
      </c>
      <c r="E28" s="3" t="s">
        <v>131</v>
      </c>
      <c r="F28" s="3" t="n">
        <v>14</v>
      </c>
      <c r="G28" s="3" t="s">
        <v>17</v>
      </c>
      <c r="H28" s="4" t="n">
        <v>845</v>
      </c>
      <c r="I28" s="3" t="s">
        <v>126</v>
      </c>
      <c r="J28" s="5" t="s">
        <v>132</v>
      </c>
      <c r="K28" s="3" t="s">
        <v>133</v>
      </c>
      <c r="L28" s="3" t="s">
        <v>129</v>
      </c>
      <c r="M28" s="2" t="n">
        <f aca="false">A28-WEEKDAY(A28,2)+1</f>
        <v>46279</v>
      </c>
    </row>
    <row r="29" customFormat="false" ht="52.2" hidden="false" customHeight="false" outlineLevel="0" collapsed="false">
      <c r="A29" s="2" t="n">
        <v>46283</v>
      </c>
      <c r="B29" s="3" t="s">
        <v>22</v>
      </c>
      <c r="C29" s="3" t="s">
        <v>134</v>
      </c>
      <c r="D29" s="3" t="s">
        <v>135</v>
      </c>
      <c r="E29" s="3" t="s">
        <v>131</v>
      </c>
      <c r="F29" s="3" t="n">
        <v>14</v>
      </c>
      <c r="G29" s="3" t="s">
        <v>17</v>
      </c>
      <c r="H29" s="4" t="n">
        <v>910</v>
      </c>
      <c r="I29" s="3" t="s">
        <v>126</v>
      </c>
      <c r="J29" s="5" t="s">
        <v>136</v>
      </c>
      <c r="K29" s="3" t="s">
        <v>137</v>
      </c>
      <c r="L29" s="3" t="s">
        <v>129</v>
      </c>
      <c r="M29" s="2" t="n">
        <f aca="false">A29-WEEKDAY(A29,2)+1</f>
        <v>46279</v>
      </c>
    </row>
    <row r="30" customFormat="false" ht="39.55" hidden="false" customHeight="false" outlineLevel="0" collapsed="false">
      <c r="A30" s="2" t="n">
        <v>46283</v>
      </c>
      <c r="B30" s="3" t="s">
        <v>26</v>
      </c>
      <c r="C30" s="3" t="s">
        <v>138</v>
      </c>
      <c r="D30" s="3" t="s">
        <v>139</v>
      </c>
      <c r="E30" s="3" t="s">
        <v>125</v>
      </c>
      <c r="F30" s="3" t="n">
        <v>14</v>
      </c>
      <c r="G30" s="3" t="s">
        <v>17</v>
      </c>
      <c r="H30" s="4" t="n">
        <v>942</v>
      </c>
      <c r="I30" s="3" t="s">
        <v>126</v>
      </c>
      <c r="J30" s="5" t="s">
        <v>140</v>
      </c>
      <c r="K30" s="3" t="s">
        <v>141</v>
      </c>
      <c r="L30" s="3" t="s">
        <v>129</v>
      </c>
      <c r="M30" s="2" t="n">
        <f aca="false">A30-WEEKDAY(A30,2)+1</f>
        <v>46279</v>
      </c>
    </row>
    <row r="31" customFormat="false" ht="39.55" hidden="false" customHeight="false" outlineLevel="0" collapsed="false">
      <c r="A31" s="2" t="n">
        <v>46283</v>
      </c>
      <c r="B31" s="3" t="s">
        <v>32</v>
      </c>
      <c r="C31" s="3" t="s">
        <v>142</v>
      </c>
      <c r="D31" s="3" t="s">
        <v>143</v>
      </c>
      <c r="E31" s="3" t="s">
        <v>125</v>
      </c>
      <c r="F31" s="3" t="n">
        <v>14</v>
      </c>
      <c r="G31" s="3" t="s">
        <v>17</v>
      </c>
      <c r="H31" s="4" t="n">
        <v>935</v>
      </c>
      <c r="I31" s="3" t="s">
        <v>126</v>
      </c>
      <c r="J31" s="5" t="s">
        <v>144</v>
      </c>
      <c r="K31" s="3" t="s">
        <v>145</v>
      </c>
      <c r="L31" s="3" t="s">
        <v>129</v>
      </c>
      <c r="M31" s="2" t="n">
        <f aca="false">A31-WEEKDAY(A31,2)+1</f>
        <v>46279</v>
      </c>
    </row>
    <row r="32" customFormat="false" ht="26.85" hidden="false" customHeight="false" outlineLevel="0" collapsed="false">
      <c r="A32" s="2" t="n">
        <v>46292</v>
      </c>
      <c r="B32" s="3" t="s">
        <v>13</v>
      </c>
      <c r="C32" s="3" t="s">
        <v>146</v>
      </c>
      <c r="D32" s="3" t="s">
        <v>147</v>
      </c>
      <c r="E32" s="3" t="s">
        <v>148</v>
      </c>
      <c r="F32" s="3" t="n">
        <v>13</v>
      </c>
      <c r="G32" s="3" t="s">
        <v>51</v>
      </c>
      <c r="H32" s="4" t="n">
        <v>872</v>
      </c>
      <c r="I32" s="3" t="s">
        <v>149</v>
      </c>
      <c r="J32" s="5" t="s">
        <v>150</v>
      </c>
      <c r="K32" s="3" t="s">
        <v>151</v>
      </c>
      <c r="L32" s="3" t="s">
        <v>152</v>
      </c>
      <c r="M32" s="2" t="n">
        <f aca="false">A32-WEEKDAY(A32,2)+1</f>
        <v>46286</v>
      </c>
    </row>
    <row r="33" customFormat="false" ht="39.55" hidden="false" customHeight="false" outlineLevel="0" collapsed="false">
      <c r="A33" s="2" t="n">
        <v>46292</v>
      </c>
      <c r="B33" s="3" t="s">
        <v>22</v>
      </c>
      <c r="C33" s="3" t="s">
        <v>153</v>
      </c>
      <c r="D33" s="3" t="s">
        <v>154</v>
      </c>
      <c r="E33" s="3" t="s">
        <v>148</v>
      </c>
      <c r="F33" s="3" t="n">
        <v>13</v>
      </c>
      <c r="G33" s="3" t="s">
        <v>51</v>
      </c>
      <c r="H33" s="4" t="n">
        <v>891</v>
      </c>
      <c r="I33" s="3" t="s">
        <v>149</v>
      </c>
      <c r="J33" s="5" t="s">
        <v>155</v>
      </c>
      <c r="K33" s="3" t="s">
        <v>156</v>
      </c>
      <c r="L33" s="3" t="s">
        <v>152</v>
      </c>
      <c r="M33" s="2" t="n">
        <f aca="false">A33-WEEKDAY(A33,2)+1</f>
        <v>46286</v>
      </c>
    </row>
    <row r="34" customFormat="false" ht="26.85" hidden="false" customHeight="false" outlineLevel="0" collapsed="false">
      <c r="A34" s="2" t="n">
        <v>46292</v>
      </c>
      <c r="B34" s="3" t="s">
        <v>22</v>
      </c>
      <c r="C34" s="3" t="s">
        <v>153</v>
      </c>
      <c r="D34" s="3" t="s">
        <v>157</v>
      </c>
      <c r="E34" s="3" t="s">
        <v>158</v>
      </c>
      <c r="F34" s="3" t="n">
        <v>14</v>
      </c>
      <c r="G34" s="3" t="s">
        <v>51</v>
      </c>
      <c r="H34" s="4" t="n">
        <v>915</v>
      </c>
      <c r="I34" s="3" t="s">
        <v>149</v>
      </c>
      <c r="J34" s="5" t="s">
        <v>80</v>
      </c>
      <c r="K34" s="3" t="s">
        <v>159</v>
      </c>
      <c r="L34" s="3" t="s">
        <v>152</v>
      </c>
      <c r="M34" s="2" t="n">
        <f aca="false">A34-WEEKDAY(A34,2)+1</f>
        <v>46286</v>
      </c>
    </row>
    <row r="35" customFormat="false" ht="39.55" hidden="false" customHeight="false" outlineLevel="0" collapsed="false">
      <c r="A35" s="2" t="n">
        <v>46292</v>
      </c>
      <c r="B35" s="3" t="s">
        <v>26</v>
      </c>
      <c r="C35" s="3" t="s">
        <v>160</v>
      </c>
      <c r="D35" s="3" t="s">
        <v>161</v>
      </c>
      <c r="E35" s="3" t="s">
        <v>162</v>
      </c>
      <c r="F35" s="3"/>
      <c r="G35" s="3" t="s">
        <v>17</v>
      </c>
      <c r="H35" s="4" t="n">
        <v>918</v>
      </c>
      <c r="I35" s="3" t="s">
        <v>59</v>
      </c>
      <c r="J35" s="5" t="s">
        <v>163</v>
      </c>
      <c r="K35" s="3" t="s">
        <v>164</v>
      </c>
      <c r="L35" s="3" t="s">
        <v>152</v>
      </c>
      <c r="M35" s="2" t="n">
        <f aca="false">A35-WEEKDAY(A35,2)+1</f>
        <v>46286</v>
      </c>
    </row>
    <row r="36" customFormat="false" ht="39.55" hidden="false" customHeight="false" outlineLevel="0" collapsed="false">
      <c r="A36" s="2" t="n">
        <v>46292</v>
      </c>
      <c r="B36" s="3" t="s">
        <v>32</v>
      </c>
      <c r="C36" s="3" t="s">
        <v>165</v>
      </c>
      <c r="D36" s="3" t="s">
        <v>161</v>
      </c>
      <c r="E36" s="3" t="s">
        <v>166</v>
      </c>
      <c r="F36" s="3"/>
      <c r="G36" s="3" t="s">
        <v>17</v>
      </c>
      <c r="H36" s="4" t="n">
        <v>925</v>
      </c>
      <c r="I36" s="3" t="s">
        <v>59</v>
      </c>
      <c r="J36" s="5" t="s">
        <v>144</v>
      </c>
      <c r="K36" s="3" t="s">
        <v>167</v>
      </c>
      <c r="L36" s="3" t="s">
        <v>152</v>
      </c>
      <c r="M36" s="2" t="n">
        <f aca="false">A36-WEEKDAY(A36,2)+1</f>
        <v>46286</v>
      </c>
    </row>
  </sheetData>
  <autoFilter ref="A1:M36"/>
  <dataValidations count="2">
    <dataValidation allowBlank="true" errorStyle="stop" operator="between" showDropDown="false" showErrorMessage="false" showInputMessage="false" sqref="B2:B1036" type="list">
      <formula1>"París,Roma,Milán,Alternativa – Madrid,Alternativa – Barcelona"</formula1>
      <formula2>0</formula2>
    </dataValidation>
    <dataValidation allowBlank="true" errorStyle="stop" operator="between" showDropDown="false" showErrorMessage="false" showInputMessage="false" sqref="G2:G1036" type="list">
      <formula1>"Fechada 13–16 días,Referencia"</formula1>
      <formula2>0</formula2>
    </dataValidation>
  </dataValidations>
  <hyperlinks>
    <hyperlink ref="J2" r:id="rId1" display="https://www.aireuropa.com/en-us/flight-deals-from-buenos-aires-1-to-madrid"/>
    <hyperlink ref="J3" r:id="rId2" display="https://www.aireuropa.com/en-us/flight-deals-from-argentina-to-italy"/>
    <hyperlink ref="J4" r:id="rId3" display="https://wwws.airfrance.com.ar/es-ar/vuelos-desde-buenos-aires-a-par%C3%ADs"/>
    <hyperlink ref="J5" r:id="rId4" display="https://www.aireuropa.com/en-us/flight-deals-from-buenos-aires-1-to-rome"/>
    <hyperlink ref="J6" r:id="rId5" display="https://wwws.airfrance.com.ar/es-ar/vuelos-desde-buenos-aires-a-roma"/>
    <hyperlink ref="J7" r:id="rId6" display="https://www.es.kayak.com/vuelos/Buenos-Aires-BUE/Madrid-Adolfo-Suarez-Madrid-Barajas-MAD"/>
    <hyperlink ref="J8" r:id="rId7" display="https://promociones-aereas.com.ar/2026/07/vuelos-a-milan-desde-buenos-aires-y-opciones-con-equipaje-ita-rt-p.html"/>
    <hyperlink ref="J9" r:id="rId8" display="https://wwws.airfrance.com.ar/es-ar/vuelos-desde-buenos-aires-a-paris"/>
    <hyperlink ref="J10" r:id="rId9" display="https://wwws.airfrance.com.ar/es-ar/vuelos-desde-buenos-aires-a-paris"/>
    <hyperlink ref="J11" r:id="rId10" display="https://www.turismocity.com.ar/vuelos-baratos-dos-tramos-BUE-ROM,MAD-BUE"/>
    <hyperlink ref="J12" r:id="rId11" display="https://promociones-aereas.com.ar/2026/05/vuelos-a-barcelona-o-a-madrid-desde-buenos-aires-latam-rt-p.html"/>
    <hyperlink ref="J13" r:id="rId12" display="https://www.kayak.com.ar/vuelos/Buenos-Aires-BUE/Espana-ES0"/>
    <hyperlink ref="J14" r:id="rId13" display="https://www.kayak.com.ar/vuelos/Buenos-Aires-BUE/Milan-MIL"/>
    <hyperlink ref="J15" r:id="rId14" display="https://www.skyscanner.com/routes/cdg/eze/paris-charles-de-gaulle-to-buenos-aires-ministro-pistarini.html"/>
    <hyperlink ref="J16" r:id="rId15" display="https://wwws.airfrance.com.ar/es-ar/vuelos-desde-buenos-aires-a-roma"/>
    <hyperlink ref="J17" r:id="rId16" display="https://www.aireuropa.com/en-us/flight-deals-from-argentina-to-spain"/>
    <hyperlink ref="J18" r:id="rId17" display="https://www.aireuropa.com/en-us/flight-deals-from-argentina-to-spain"/>
    <hyperlink ref="J19" r:id="rId18" display="https://www.aireuropa.com/en-us/flight-deals-from-argentina-to-italy"/>
    <hyperlink ref="J20" r:id="rId19" display="https://wwws.airfrance.com.ar/es-ar/vuelos-desde-buenos-aires-a-par%C3%ADs"/>
    <hyperlink ref="J21" r:id="rId20" display="https://www.aireuropa.com/en-us/flight-deals-from-argentina-to-italy"/>
    <hyperlink ref="J22" r:id="rId21" display="https://wwws.airfrance.com.ar/es-ar/vuelos-desde-buenos-aires-a-mil%C3%A1n"/>
    <hyperlink ref="J23" r:id="rId22" display="https://wwws.airfrance.com.ar/es-ar/vuelos-desde-buenos-aires-a-par%C3%ADs"/>
    <hyperlink ref="J24" r:id="rId23" display="https://www.turismocity.com.ar/vuelos-baratos-dos-tramos-BUE-ROM,MAD-BUE"/>
    <hyperlink ref="J25" r:id="rId24" display="https://www.aireuropa.com/en-us/flight-deals-from-buenos-aires-1-to-rome"/>
    <hyperlink ref="J26" r:id="rId25" display="https://wwws.airfrance.com.ar/es-ar/vuelos-desde-buenos-aires-a-roma"/>
    <hyperlink ref="J27" r:id="rId26" display="https://www.turismocity.com.ar/vuelos-baratos-a-BCN-Barcelona"/>
    <hyperlink ref="J28" r:id="rId27" display="https://www.turismocity.com.ar/vuelos-baratos-a-MAD-madrid"/>
    <hyperlink ref="J29" r:id="rId28" display="https://www.turismocity.com.ar/vuelos-baratos-a-MIL-milan"/>
    <hyperlink ref="J30" r:id="rId29" display="https://www.turismocity.com.ar/vuelos-baratos-a-PAR-Paris"/>
    <hyperlink ref="J31" r:id="rId30" display="https://www.turismocity.com.ar/vuelos-baratos-a-ROM-roma"/>
    <hyperlink ref="J32" r:id="rId31" display="https://www.kayak.com.ar/vuelos/Argentina-AR0/Madrid-Adolfo-Suarez-Madrid-Barajas-MAD"/>
    <hyperlink ref="J33" r:id="rId32" display="https://www.kayak.com.ar/vuelos/Buenos-Aires-BUE/Italia-IT0"/>
    <hyperlink ref="J34" r:id="rId33" display="https://www.kayak.com.ar/vuelos/Buenos-Aires-BUE/Milan-MIL"/>
    <hyperlink ref="J35" r:id="rId34" display="https://www.turismocity.com.ar/vuelos-baratos-a-PAR-paris"/>
    <hyperlink ref="J36" r:id="rId35" display="https://www.turismocity.com.ar/vuelos-baratos-a-ROM-rom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6.1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7" t="s">
        <v>169</v>
      </c>
    </row>
    <row r="3" customFormat="false" ht="15" hidden="false" customHeight="false" outlineLevel="0" collapsed="false">
      <c r="A3" s="7" t="s">
        <v>170</v>
      </c>
    </row>
    <row r="5" customFormat="false" ht="39.55" hidden="false" customHeight="false" outlineLevel="0" collapsed="false">
      <c r="A5" s="1" t="s">
        <v>1</v>
      </c>
      <c r="B5" s="1" t="s">
        <v>171</v>
      </c>
      <c r="C5" s="1" t="s">
        <v>172</v>
      </c>
      <c r="D5" s="1" t="s">
        <v>173</v>
      </c>
      <c r="E5" s="1" t="s">
        <v>174</v>
      </c>
      <c r="F5" s="1" t="s">
        <v>175</v>
      </c>
      <c r="G5" s="1" t="s">
        <v>176</v>
      </c>
      <c r="H5" s="1" t="s">
        <v>177</v>
      </c>
      <c r="I5" s="1" t="s">
        <v>178</v>
      </c>
      <c r="J5" s="1" t="s">
        <v>179</v>
      </c>
    </row>
    <row r="6" customFormat="false" ht="15" hidden="false" customHeight="false" outlineLevel="0" collapsed="false">
      <c r="A6" s="8" t="s">
        <v>26</v>
      </c>
      <c r="B6" s="9" t="n">
        <f aca="false">IF(H6=0,"",_xlfn.MINIFS(Historial!$H$2:$H$5000,Historial!$B$2:$B$5000,"París"))</f>
        <v>725</v>
      </c>
      <c r="C6" s="9" t="n">
        <f aca="false">IF(H6=0,"",AVERAGEIFS(Historial!$H$2:$H$5000,Historial!$B$2:$B$5000,"París"))</f>
        <v>938.25</v>
      </c>
      <c r="D6" s="9" t="n">
        <f aca="false">IF(H6=0,"",_xlfn.MINIFS(Historial!$H$2:$H$5000,Historial!$B$2:$B$5000,"París",Historial!$M$2:$M$5000,E6))</f>
        <v>918</v>
      </c>
      <c r="E6" s="10" t="n">
        <f aca="false">IF(H6=0,"",_xlfn.MAXIFS(Historial!$M$2:$M$5000,Historial!$B$2:$B$5000,"París"))</f>
        <v>46286</v>
      </c>
      <c r="F6" s="11" t="n">
        <f aca="false">IF(H6=0,"",D6/C6-1)</f>
        <v>-0.0215827338129496</v>
      </c>
      <c r="G6" s="11" t="n">
        <f aca="false">IF(H6=0,"",D6/B6-1)</f>
        <v>0.266206896551724</v>
      </c>
      <c r="H6" s="8" t="n">
        <f aca="false">COUNTIFS(Historial!$B$2:$B$5000,"París")</f>
        <v>8</v>
      </c>
      <c r="I6" s="9" t="n">
        <f aca="false">IF(COUNTIFS(Historial!$B$2:$B$5000,"París",Historial!$G$2:$G$5000,"Fechada*")=0,"sin datos",_xlfn.MINIFS(Historial!$H$2:$H$5000,Historial!$B$2:$B$5000,"París",Historial!$G$2:$G$5000,"Fechada*"))</f>
        <v>726</v>
      </c>
      <c r="J6" s="8" t="str">
        <f aca="false">IF(H6=0,"",IF(D6&lt;=B6,"Mínimo histórico",IF(D6&lt;C6,"Bajo el promedio","Sobre el promedio")))</f>
        <v>Bajo el promedio</v>
      </c>
    </row>
    <row r="7" customFormat="false" ht="15" hidden="false" customHeight="false" outlineLevel="0" collapsed="false">
      <c r="A7" s="8" t="s">
        <v>32</v>
      </c>
      <c r="B7" s="9" t="n">
        <f aca="false">IF(H7=0,"",_xlfn.MINIFS(Historial!$H$2:$H$5000,Historial!$B$2:$B$5000,"Roma"))</f>
        <v>925</v>
      </c>
      <c r="C7" s="9" t="n">
        <f aca="false">IF(H7=0,"",AVERAGEIFS(Historial!$H$2:$H$5000,Historial!$B$2:$B$5000,"Roma"))</f>
        <v>1107.1</v>
      </c>
      <c r="D7" s="9" t="n">
        <f aca="false">IF(H7=0,"",_xlfn.MINIFS(Historial!$H$2:$H$5000,Historial!$B$2:$B$5000,"Roma",Historial!$M$2:$M$5000,E7))</f>
        <v>925</v>
      </c>
      <c r="E7" s="10" t="n">
        <f aca="false">IF(H7=0,"",_xlfn.MAXIFS(Historial!$M$2:$M$5000,Historial!$B$2:$B$5000,"Roma"))</f>
        <v>46286</v>
      </c>
      <c r="F7" s="11" t="n">
        <f aca="false">IF(H7=0,"",D7/C7-1)</f>
        <v>-0.164483786469154</v>
      </c>
      <c r="G7" s="11" t="n">
        <f aca="false">IF(H7=0,"",D7/B7-1)</f>
        <v>0</v>
      </c>
      <c r="H7" s="8" t="n">
        <f aca="false">COUNTIFS(Historial!$B$2:$B$5000,"Roma")</f>
        <v>10</v>
      </c>
      <c r="I7" s="9" t="str">
        <f aca="false">IF(COUNTIFS(Historial!$B$2:$B$5000,"Roma",Historial!$G$2:$G$5000,"Fechada*")=0,"sin datos",_xlfn.MINIFS(Historial!$H$2:$H$5000,Historial!$B$2:$B$5000,"Roma",Historial!$G$2:$G$5000,"Fechada*"))</f>
        <v>sin datos</v>
      </c>
      <c r="J7" s="8" t="str">
        <f aca="false">IF(H7=0,"",IF(D7&lt;=B7,"Mínimo histórico",IF(D7&lt;C7,"Bajo el promedio","Sobre el promedio")))</f>
        <v>Mínimo histórico</v>
      </c>
    </row>
    <row r="8" customFormat="false" ht="15" hidden="false" customHeight="false" outlineLevel="0" collapsed="false">
      <c r="A8" s="8" t="s">
        <v>22</v>
      </c>
      <c r="B8" s="9" t="n">
        <f aca="false">IF(H8=0,"",_xlfn.MINIFS(Historial!$H$2:$H$5000,Historial!$B$2:$B$5000,"Milán"))</f>
        <v>891</v>
      </c>
      <c r="C8" s="9" t="n">
        <f aca="false">IF(H8=0,"",AVERAGEIFS(Historial!$H$2:$H$5000,Historial!$B$2:$B$5000,"Milán"))</f>
        <v>1138.375</v>
      </c>
      <c r="D8" s="9" t="n">
        <f aca="false">IF(H8=0,"",_xlfn.MINIFS(Historial!$H$2:$H$5000,Historial!$B$2:$B$5000,"Milán",Historial!$M$2:$M$5000,E8))</f>
        <v>891</v>
      </c>
      <c r="E8" s="10" t="n">
        <f aca="false">IF(H8=0,"",_xlfn.MAXIFS(Historial!$M$2:$M$5000,Historial!$B$2:$B$5000,"Milán"))</f>
        <v>46286</v>
      </c>
      <c r="F8" s="11" t="n">
        <f aca="false">IF(H8=0,"",D8/C8-1)</f>
        <v>-0.217305369495992</v>
      </c>
      <c r="G8" s="11" t="n">
        <f aca="false">IF(H8=0,"",D8/B8-1)</f>
        <v>0</v>
      </c>
      <c r="H8" s="8" t="n">
        <f aca="false">COUNTIFS(Historial!$B$2:$B$5000,"Milán")</f>
        <v>8</v>
      </c>
      <c r="I8" s="9" t="n">
        <f aca="false">IF(COUNTIFS(Historial!$B$2:$B$5000,"Milán",Historial!$G$2:$G$5000,"Fechada*")=0,"sin datos",_xlfn.MINIFS(Historial!$H$2:$H$5000,Historial!$B$2:$B$5000,"Milán",Historial!$G$2:$G$5000,"Fechada*"))</f>
        <v>891</v>
      </c>
      <c r="J8" s="8" t="str">
        <f aca="false">IF(H8=0,"",IF(D8&lt;=B8,"Mínimo histórico",IF(D8&lt;C8,"Bajo el promedio","Sobre el promedio")))</f>
        <v>Mínimo histórico</v>
      </c>
    </row>
    <row r="9" customFormat="false" ht="15" hidden="false" customHeight="false" outlineLevel="0" collapsed="false">
      <c r="A9" s="8" t="s">
        <v>180</v>
      </c>
      <c r="B9" s="9" t="n">
        <f aca="false">IF(H9=0,"",_xlfn.MINIFS(Historial!$H$2:$H$5000,Historial!$B$2:$B$5000,"Alternativa*"))</f>
        <v>845</v>
      </c>
      <c r="C9" s="9" t="n">
        <f aca="false">IF(H9=0,"",AVERAGEIFS(Historial!$H$2:$H$5000,Historial!$B$2:$B$5000,"Alternativa*"))</f>
        <v>958.555555555556</v>
      </c>
      <c r="D9" s="9" t="n">
        <f aca="false">IF(H9=0,"",_xlfn.MINIFS(Historial!$H$2:$H$5000,Historial!$B$2:$B$5000,"Alternativa*",Historial!$M$2:$M$5000,E9))</f>
        <v>872</v>
      </c>
      <c r="E9" s="10" t="n">
        <f aca="false">IF(H9=0,"",_xlfn.MAXIFS(Historial!$M$2:$M$5000,Historial!$B$2:$B$5000,"Alternativa*"))</f>
        <v>46286</v>
      </c>
      <c r="F9" s="11" t="n">
        <f aca="false">IF(H9=0,"",D9/C9-1)</f>
        <v>-0.090297901935783</v>
      </c>
      <c r="G9" s="11" t="n">
        <f aca="false">IF(H9=0,"",D9/B9-1)</f>
        <v>0.0319526627218936</v>
      </c>
      <c r="H9" s="8" t="n">
        <f aca="false">COUNTIFS(Historial!$B$2:$B$5000,"Alternativa*")</f>
        <v>9</v>
      </c>
      <c r="I9" s="9" t="n">
        <f aca="false">IF(COUNTIFS(Historial!$B$2:$B$5000,"Alternativa*",Historial!$G$2:$G$5000,"Fechada*")=0,"sin datos",_xlfn.MINIFS(Historial!$H$2:$H$5000,Historial!$B$2:$B$5000,"Alternativa*",Historial!$G$2:$G$5000,"Fechada*"))</f>
        <v>872</v>
      </c>
      <c r="J9" s="8" t="str">
        <f aca="false">IF(H9=0,"",IF(D9&lt;=B9,"Mínimo histórico",IF(D9&lt;C9,"Bajo el promedio","Sobre el promedio")))</f>
        <v>Bajo el promedio</v>
      </c>
    </row>
    <row r="12" customFormat="false" ht="15" hidden="false" customHeight="false" outlineLevel="0" collapsed="false">
      <c r="A12" s="12" t="s">
        <v>181</v>
      </c>
    </row>
    <row r="13" customFormat="false" ht="26.85" hidden="false" customHeight="false" outlineLevel="0" collapsed="false">
      <c r="A13" s="13" t="s">
        <v>12</v>
      </c>
      <c r="B13" s="13" t="s">
        <v>26</v>
      </c>
      <c r="C13" s="13" t="s">
        <v>32</v>
      </c>
      <c r="D13" s="13" t="s">
        <v>22</v>
      </c>
      <c r="E13" s="13" t="s">
        <v>180</v>
      </c>
    </row>
    <row r="14" customFormat="false" ht="15" hidden="false" customHeight="false" outlineLevel="0" collapsed="false">
      <c r="A14" s="14" t="n">
        <v>46237</v>
      </c>
      <c r="B14" s="15" t="n">
        <f aca="false">IF(COUNTIFS(Historial!$B$2:$B$5000,"París",Historial!$M$2:$M$5000,$A14)=0,NA(),_xlfn.MINIFS(Historial!$H$2:$H$5000,Historial!$B$2:$B$5000,"París",Historial!$M$2:$M$5000,$A14))</f>
        <v>726</v>
      </c>
      <c r="C14" s="15" t="n">
        <f aca="false">IF(COUNTIFS(Historial!$B$2:$B$5000,"Roma",Historial!$M$2:$M$5000,$A14)=0,NA(),_xlfn.MINIFS(Historial!$H$2:$H$5000,Historial!$B$2:$B$5000,"Roma",Historial!$M$2:$M$5000,$A14))</f>
        <v>999</v>
      </c>
      <c r="D14" s="15" t="n">
        <f aca="false">IF(COUNTIFS(Historial!$B$2:$B$5000,"Milán",Historial!$M$2:$M$5000,$A14)=0,NA(),_xlfn.MINIFS(Historial!$H$2:$H$5000,Historial!$B$2:$B$5000,"Milán",Historial!$M$2:$M$5000,$A14))</f>
        <v>1019</v>
      </c>
      <c r="E14" s="15" t="n">
        <f aca="false">IF(COUNTIFS(Historial!$B$2:$B$5000,"Alternativa*",Historial!$M$2:$M$5000,$A14)=0,NA(),_xlfn.MINIFS(Historial!$H$2:$H$5000,Historial!$B$2:$B$5000,"Alternativa*",Historial!$M$2:$M$5000,$A14))</f>
        <v>942</v>
      </c>
    </row>
    <row r="15" customFormat="false" ht="15" hidden="false" customHeight="false" outlineLevel="0" collapsed="false">
      <c r="A15" s="14" t="n">
        <v>46251</v>
      </c>
      <c r="B15" s="15" t="n">
        <f aca="false">IF(COUNTIFS(Historial!$B$2:$B$5000,"París",Historial!$M$2:$M$5000,$A15)=0,NA(),_xlfn.MINIFS(Historial!$H$2:$H$5000,Historial!$B$2:$B$5000,"París",Historial!$M$2:$M$5000,$A15))</f>
        <v>1088</v>
      </c>
      <c r="C15" s="15" t="n">
        <f aca="false">IF(COUNTIFS(Historial!$B$2:$B$5000,"Roma",Historial!$M$2:$M$5000,$A15)=0,NA(),_xlfn.MINIFS(Historial!$H$2:$H$5000,Historial!$B$2:$B$5000,"Roma",Historial!$M$2:$M$5000,$A15))</f>
        <v>1040</v>
      </c>
      <c r="D15" s="15" t="n">
        <f aca="false">IF(COUNTIFS(Historial!$B$2:$B$5000,"Milán",Historial!$M$2:$M$5000,$A15)=0,NA(),_xlfn.MINIFS(Historial!$H$2:$H$5000,Historial!$B$2:$B$5000,"Milán",Historial!$M$2:$M$5000,$A15))</f>
        <v>1148</v>
      </c>
      <c r="E15" s="15" t="n">
        <f aca="false">IF(COUNTIFS(Historial!$B$2:$B$5000,"Alternativa*",Historial!$M$2:$M$5000,$A15)=0,NA(),_xlfn.MINIFS(Historial!$H$2:$H$5000,Historial!$B$2:$B$5000,"Alternativa*",Historial!$M$2:$M$5000,$A15))</f>
        <v>970</v>
      </c>
    </row>
    <row r="16" customFormat="false" ht="15" hidden="false" customHeight="false" outlineLevel="0" collapsed="false">
      <c r="A16" s="14" t="n">
        <v>46258</v>
      </c>
      <c r="B16" s="15" t="n">
        <f aca="false">IF(COUNTIFS(Historial!$B$2:$B$5000,"París",Historial!$M$2:$M$5000,$A16)=0,NA(),_xlfn.MINIFS(Historial!$H$2:$H$5000,Historial!$B$2:$B$5000,"París",Historial!$M$2:$M$5000,$A16))</f>
        <v>725</v>
      </c>
      <c r="C16" s="15" t="n">
        <f aca="false">IF(COUNTIFS(Historial!$B$2:$B$5000,"Roma",Historial!$M$2:$M$5000,$A16)=0,NA(),_xlfn.MINIFS(Historial!$H$2:$H$5000,Historial!$B$2:$B$5000,"Roma",Historial!$M$2:$M$5000,$A16))</f>
        <v>1257</v>
      </c>
      <c r="D16" s="15" t="n">
        <f aca="false">IF(COUNTIFS(Historial!$B$2:$B$5000,"Milán",Historial!$M$2:$M$5000,$A16)=0,NA(),_xlfn.MINIFS(Historial!$H$2:$H$5000,Historial!$B$2:$B$5000,"Milán",Historial!$M$2:$M$5000,$A16))</f>
        <v>1049</v>
      </c>
      <c r="E16" s="15" t="n">
        <f aca="false">IF(COUNTIFS(Historial!$B$2:$B$5000,"Alternativa*",Historial!$M$2:$M$5000,$A16)=0,NA(),_xlfn.MINIFS(Historial!$H$2:$H$5000,Historial!$B$2:$B$5000,"Alternativa*",Historial!$M$2:$M$5000,$A16))</f>
        <v>958</v>
      </c>
    </row>
    <row r="17" customFormat="false" ht="15" hidden="false" customHeight="false" outlineLevel="0" collapsed="false">
      <c r="A17" s="14" t="n">
        <v>46265</v>
      </c>
      <c r="B17" s="15" t="n">
        <f aca="false">IF(COUNTIFS(Historial!$B$2:$B$5000,"París",Historial!$M$2:$M$5000,$A17)=0,NA(),_xlfn.MINIFS(Historial!$H$2:$H$5000,Historial!$B$2:$B$5000,"París",Historial!$M$2:$M$5000,$A17))</f>
        <v>1445</v>
      </c>
      <c r="C17" s="15" t="n">
        <f aca="false">IF(COUNTIFS(Historial!$B$2:$B$5000,"Roma",Historial!$M$2:$M$5000,$A17)=0,NA(),_xlfn.MINIFS(Historial!$H$2:$H$5000,Historial!$B$2:$B$5000,"Roma",Historial!$M$2:$M$5000,$A17))</f>
        <v>1257</v>
      </c>
      <c r="D17" s="15" t="n">
        <f aca="false">IF(COUNTIFS(Historial!$B$2:$B$5000,"Milán",Historial!$M$2:$M$5000,$A17)=0,NA(),_xlfn.MINIFS(Historial!$H$2:$H$5000,Historial!$B$2:$B$5000,"Milán",Historial!$M$2:$M$5000,$A17))</f>
        <v>2011</v>
      </c>
      <c r="E17" s="15" t="e">
        <f aca="false">IF(COUNTIFS(Historial!$B$2:$B$5000,"Alternativa*",Historial!$M$2:$M$5000,$A17)=0,NA(),_xlfn.MINIFS(Historial!$H$2:$H$5000,Historial!$B$2:$B$5000,"Alternativa*",Historial!$M$2:$M$5000,$A17))</f>
        <v>#N/A</v>
      </c>
    </row>
    <row r="18" customFormat="false" ht="15" hidden="false" customHeight="false" outlineLevel="0" collapsed="false">
      <c r="A18" s="14" t="n">
        <v>46279</v>
      </c>
      <c r="B18" s="15" t="n">
        <f aca="false">IF(COUNTIFS(Historial!$B$2:$B$5000,"París",Historial!$M$2:$M$5000,$A18)=0,NA(),_xlfn.MINIFS(Historial!$H$2:$H$5000,Historial!$B$2:$B$5000,"París",Historial!$M$2:$M$5000,$A18))</f>
        <v>942</v>
      </c>
      <c r="C18" s="15" t="n">
        <f aca="false">IF(COUNTIFS(Historial!$B$2:$B$5000,"Roma",Historial!$M$2:$M$5000,$A18)=0,NA(),_xlfn.MINIFS(Historial!$H$2:$H$5000,Historial!$B$2:$B$5000,"Roma",Historial!$M$2:$M$5000,$A18))</f>
        <v>935</v>
      </c>
      <c r="D18" s="15" t="n">
        <f aca="false">IF(COUNTIFS(Historial!$B$2:$B$5000,"Milán",Historial!$M$2:$M$5000,$A18)=0,NA(),_xlfn.MINIFS(Historial!$H$2:$H$5000,Historial!$B$2:$B$5000,"Milán",Historial!$M$2:$M$5000,$A18))</f>
        <v>910</v>
      </c>
      <c r="E18" s="15" t="n">
        <f aca="false">IF(COUNTIFS(Historial!$B$2:$B$5000,"Alternativa*",Historial!$M$2:$M$5000,$A18)=0,NA(),_xlfn.MINIFS(Historial!$H$2:$H$5000,Historial!$B$2:$B$5000,"Alternativa*",Historial!$M$2:$M$5000,$A18))</f>
        <v>845</v>
      </c>
    </row>
    <row r="19" customFormat="false" ht="15" hidden="false" customHeight="false" outlineLevel="0" collapsed="false">
      <c r="A19" s="14" t="n">
        <v>46286</v>
      </c>
      <c r="B19" s="15" t="n">
        <f aca="false">IF(COUNTIFS(Historial!$B$2:$B$5000,"París",Historial!$M$2:$M$5000,$A19)=0,NA(),_xlfn.MINIFS(Historial!$H$2:$H$5000,Historial!$B$2:$B$5000,"París",Historial!$M$2:$M$5000,$A19))</f>
        <v>918</v>
      </c>
      <c r="C19" s="15" t="n">
        <f aca="false">IF(COUNTIFS(Historial!$B$2:$B$5000,"Roma",Historial!$M$2:$M$5000,$A19)=0,NA(),_xlfn.MINIFS(Historial!$H$2:$H$5000,Historial!$B$2:$B$5000,"Roma",Historial!$M$2:$M$5000,$A19))</f>
        <v>925</v>
      </c>
      <c r="D19" s="15" t="n">
        <f aca="false">IF(COUNTIFS(Historial!$B$2:$B$5000,"Milán",Historial!$M$2:$M$5000,$A19)=0,NA(),_xlfn.MINIFS(Historial!$H$2:$H$5000,Historial!$B$2:$B$5000,"Milán",Historial!$M$2:$M$5000,$A19))</f>
        <v>891</v>
      </c>
      <c r="E19" s="15" t="n">
        <f aca="false">IF(COUNTIFS(Historial!$B$2:$B$5000,"Alternativa*",Historial!$M$2:$M$5000,$A19)=0,NA(),_xlfn.MINIFS(Historial!$H$2:$H$5000,Historial!$B$2:$B$5000,"Alternativa*",Historial!$M$2:$M$5000,$A19))</f>
        <v>872</v>
      </c>
    </row>
    <row r="20" customFormat="false" ht="15" hidden="false" customHeight="false" outlineLevel="0" collapsed="false">
      <c r="A20" s="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2026-09-28T01:50:06Z</dcterms:created>
  <dc:creator>openpyxl</dc:creator>
  <dc:description/>
  <dc:language>en-US</dc:language>
  <cp:lastModifiedBy/>
  <dcterms:modified xsi:type="dcterms:W3CDTF">2026-09-27T22:50:08Z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